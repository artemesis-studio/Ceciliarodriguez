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40" windowHeight="15000" activeTab="2"/>
  </bookViews>
  <sheets>
    <sheet name="Certeza" sheetId="1" r:id="rId1"/>
    <sheet name="Riesgo" sheetId="2" r:id="rId2"/>
    <sheet name="Incertidumbre" sheetId="4" r:id="rId3"/>
    <sheet name="Hoja3" sheetId="3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" l="1"/>
  <c r="C30" i="1"/>
  <c r="C27" i="1"/>
  <c r="C25" i="1"/>
  <c r="C22" i="1"/>
</calcChain>
</file>

<file path=xl/sharedStrings.xml><?xml version="1.0" encoding="utf-8"?>
<sst xmlns="http://schemas.openxmlformats.org/spreadsheetml/2006/main" count="56" uniqueCount="48">
  <si>
    <t>Ejemplo</t>
  </si>
  <si>
    <t>Venta actual=</t>
  </si>
  <si>
    <t>Costo Fijo =</t>
  </si>
  <si>
    <t>Costo Variable =</t>
  </si>
  <si>
    <t>datos</t>
  </si>
  <si>
    <t>solución</t>
  </si>
  <si>
    <t>Contribución Marginal =</t>
  </si>
  <si>
    <t>´120 - 60 =</t>
  </si>
  <si>
    <t>CM relativa =</t>
  </si>
  <si>
    <t>60/120 =</t>
  </si>
  <si>
    <t>PEE =</t>
  </si>
  <si>
    <t>Margen de Seguridad=</t>
  </si>
  <si>
    <t xml:space="preserve">      Margen de Seguridad =</t>
  </si>
  <si>
    <t xml:space="preserve">      Ventas actuales - Ventas de equilibrio   </t>
  </si>
  <si>
    <t xml:space="preserve">                        Ventas actuales</t>
  </si>
  <si>
    <t>Distribución de frecuencias standard</t>
  </si>
  <si>
    <t xml:space="preserve">Probabilidad </t>
  </si>
  <si>
    <r>
      <t xml:space="preserve">Z veces </t>
    </r>
    <r>
      <rPr>
        <sz val="11"/>
        <color theme="1"/>
        <rFont val="Aptos Narrow"/>
        <family val="2"/>
        <scheme val="minor"/>
      </rPr>
      <t xml:space="preserve"> </t>
    </r>
    <r>
      <rPr>
        <u/>
        <sz val="12"/>
        <color theme="1"/>
        <rFont val="Calibri"/>
        <family val="2"/>
      </rPr>
      <t>σ</t>
    </r>
  </si>
  <si>
    <t>(aproximada)</t>
  </si>
  <si>
    <t>&gt; 99%</t>
  </si>
  <si>
    <t>Venta actual esperada=</t>
  </si>
  <si>
    <t>PEE esperado =</t>
  </si>
  <si>
    <t>Dispersión =</t>
  </si>
  <si>
    <t>Z  = 2</t>
  </si>
  <si>
    <t xml:space="preserve">Z = </t>
  </si>
  <si>
    <t xml:space="preserve"> (120 - 100) / 120=</t>
  </si>
  <si>
    <t xml:space="preserve">                       Dispersión standard</t>
  </si>
  <si>
    <t>cobertura de la curva de Gauss =</t>
  </si>
  <si>
    <t xml:space="preserve"> ´100% - 95%</t>
  </si>
  <si>
    <t>probabilidad de perder =</t>
  </si>
  <si>
    <t xml:space="preserve">      Algunos valores típicos</t>
  </si>
  <si>
    <t>DECICIONES BAJO CERTEZA (Knight)</t>
  </si>
  <si>
    <t>DECISIONES BAJO RIESGO (Knight)</t>
  </si>
  <si>
    <t>DECISIONES BAJO INCERTIDUMBRE (Knight)</t>
  </si>
  <si>
    <t>( 100 ,  200 , 600)</t>
  </si>
  <si>
    <t>( 10% , 25% , 50%)</t>
  </si>
  <si>
    <t>(100/ 50%  ,  200/25%  , 600/ 10%) =</t>
  </si>
  <si>
    <t>( 200 ,  800 , 1200)</t>
  </si>
  <si>
    <t>Caso posible = costo fijo posible/ CMR posible</t>
  </si>
  <si>
    <t>Caso pesimista = alto costo fijo / baja CMR</t>
  </si>
  <si>
    <t>Contribución Marginal Relativa  (CMR)=</t>
  </si>
  <si>
    <t>Caso optimista=  bajo costo fijos / alta CMR</t>
  </si>
  <si>
    <t>No perdería ni en el peor de los casos  posibles</t>
  </si>
  <si>
    <t>Evaluación = poco riesgoso</t>
  </si>
  <si>
    <t>(1500 &gt; 1200)</t>
  </si>
  <si>
    <t>Campana de Gauss</t>
  </si>
  <si>
    <t xml:space="preserve"> VE (  Ventas actuales) - VE ( Ventas de equilibrio)   </t>
  </si>
  <si>
    <t>Punto de equilibrio trinagular o fuzzy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</si>
</sst>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u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Alignment="1">
      <alignment horizontal="right"/>
    </xf>
    <xf numFmtId="0" fontId="6" fillId="0" borderId="0" xfId="0" applyFont="1"/>
    <xf numFmtId="9" fontId="0" fillId="0" borderId="0" xfId="1" applyFont="1"/>
    <xf numFmtId="0" fontId="7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9" fontId="0" fillId="0" borderId="0" xfId="0" applyNumberFormat="1"/>
    <xf numFmtId="9" fontId="4" fillId="0" borderId="0" xfId="0" applyNumberFormat="1" applyFont="1"/>
    <xf numFmtId="0" fontId="8" fillId="0" borderId="1" xfId="0" applyFont="1" applyBorder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6</xdr:row>
      <xdr:rowOff>0</xdr:rowOff>
    </xdr:from>
    <xdr:to>
      <xdr:col>6</xdr:col>
      <xdr:colOff>28576</xdr:colOff>
      <xdr:row>13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74F2F6ED-8249-41A3-2FAB-130FAE87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1143000"/>
          <a:ext cx="2305051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topLeftCell="A4" zoomScale="120" zoomScaleNormal="120" workbookViewId="0">
      <selection activeCell="H20" sqref="H20"/>
    </sheetView>
  </sheetViews>
  <sheetFormatPr baseColWidth="10" defaultRowHeight="14.25"/>
  <sheetData>
    <row r="2" spans="2:4" ht="15">
      <c r="B2" s="3" t="s">
        <v>31</v>
      </c>
    </row>
    <row r="4" spans="2:4" ht="15.75" thickBot="1"/>
    <row r="5" spans="2:4" ht="15">
      <c r="B5" s="4" t="s">
        <v>12</v>
      </c>
      <c r="C5" s="5"/>
      <c r="D5" s="6"/>
    </row>
    <row r="6" spans="2:4" ht="15">
      <c r="B6" s="7"/>
      <c r="D6" s="8"/>
    </row>
    <row r="7" spans="2:4" ht="15">
      <c r="B7" s="9" t="s">
        <v>13</v>
      </c>
      <c r="D7" s="8"/>
    </row>
    <row r="8" spans="2:4" ht="15.75" thickBot="1">
      <c r="B8" s="10" t="s">
        <v>14</v>
      </c>
      <c r="C8" s="11"/>
      <c r="D8" s="12"/>
    </row>
    <row r="11" spans="2:4" ht="15">
      <c r="B11" s="14" t="s">
        <v>0</v>
      </c>
    </row>
    <row r="12" spans="2:4" ht="15">
      <c r="C12" s="13" t="s">
        <v>4</v>
      </c>
    </row>
    <row r="13" spans="2:4" ht="15">
      <c r="B13" t="s">
        <v>1</v>
      </c>
      <c r="C13">
        <v>120</v>
      </c>
    </row>
    <row r="15" spans="2:4" ht="15">
      <c r="B15" t="s">
        <v>2</v>
      </c>
      <c r="C15">
        <v>50</v>
      </c>
    </row>
    <row r="17" spans="2:3" ht="15">
      <c r="B17" s="1" t="s">
        <v>3</v>
      </c>
      <c r="C17">
        <v>60</v>
      </c>
    </row>
    <row r="19" spans="2:3">
      <c r="C19" s="13" t="s">
        <v>5</v>
      </c>
    </row>
    <row r="21" spans="2:3">
      <c r="B21" t="s">
        <v>6</v>
      </c>
    </row>
    <row r="22" spans="2:3">
      <c r="B22" t="s">
        <v>7</v>
      </c>
      <c r="C22">
        <f>+C13-C17</f>
        <v>60</v>
      </c>
    </row>
    <row r="24" spans="2:3" ht="15">
      <c r="B24" t="s">
        <v>8</v>
      </c>
    </row>
    <row r="25" spans="2:3" ht="15">
      <c r="B25" t="s">
        <v>9</v>
      </c>
      <c r="C25" s="15">
        <f>+C22/C13</f>
        <v>0.5</v>
      </c>
    </row>
    <row r="27" spans="2:3" ht="15">
      <c r="B27" t="s">
        <v>10</v>
      </c>
      <c r="C27">
        <f>+C15/C25</f>
        <v>100</v>
      </c>
    </row>
    <row r="29" spans="2:3" ht="15">
      <c r="B29" t="s">
        <v>11</v>
      </c>
    </row>
    <row r="30" spans="2:3" ht="15">
      <c r="B30" s="16" t="s">
        <v>25</v>
      </c>
      <c r="C30" s="15">
        <f>+(C13-C27)/C13</f>
        <v>0.16666666666666666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topLeftCell="A2" zoomScale="120" zoomScaleNormal="120" workbookViewId="0">
      <selection activeCell="G20" sqref="G20"/>
    </sheetView>
  </sheetViews>
  <sheetFormatPr baseColWidth="10" defaultRowHeight="14.25"/>
  <sheetData>
    <row r="2" spans="2:5" ht="15">
      <c r="B2" s="3" t="s">
        <v>32</v>
      </c>
    </row>
    <row r="5" spans="2:5">
      <c r="B5" s="25" t="s">
        <v>15</v>
      </c>
      <c r="C5" s="26"/>
      <c r="D5" s="26"/>
    </row>
    <row r="6" spans="2:5">
      <c r="B6" s="33" t="s">
        <v>30</v>
      </c>
      <c r="C6" s="26"/>
      <c r="D6" s="26"/>
      <c r="E6" s="2" t="s">
        <v>45</v>
      </c>
    </row>
    <row r="7" spans="2:5" ht="15.75" thickBot="1"/>
    <row r="8" spans="2:5" ht="15.75">
      <c r="B8" s="29" t="s">
        <v>17</v>
      </c>
      <c r="C8" s="6" t="s">
        <v>16</v>
      </c>
    </row>
    <row r="9" spans="2:5" ht="15.75" thickBot="1">
      <c r="B9" s="32"/>
      <c r="C9" s="12" t="s">
        <v>18</v>
      </c>
    </row>
    <row r="10" spans="2:5" ht="15">
      <c r="B10" s="30">
        <v>1</v>
      </c>
      <c r="C10" s="27">
        <v>0.68</v>
      </c>
    </row>
    <row r="11" spans="2:5" ht="15">
      <c r="B11" s="30">
        <v>2</v>
      </c>
      <c r="C11" s="27">
        <v>0.95</v>
      </c>
    </row>
    <row r="12" spans="2:5" ht="15.75" thickBot="1">
      <c r="B12" s="31">
        <v>3</v>
      </c>
      <c r="C12" s="28" t="s">
        <v>19</v>
      </c>
    </row>
    <row r="13" spans="2:5" ht="15">
      <c r="B13" s="34"/>
      <c r="C13" s="34"/>
    </row>
    <row r="14" spans="2:5" ht="15">
      <c r="B14" s="34"/>
      <c r="C14" s="34"/>
    </row>
    <row r="16" spans="2:5" ht="15">
      <c r="B16" s="14" t="s">
        <v>0</v>
      </c>
    </row>
    <row r="17" spans="2:5" ht="15">
      <c r="C17" s="2" t="s">
        <v>4</v>
      </c>
    </row>
    <row r="18" spans="2:5" ht="15">
      <c r="B18" t="s">
        <v>20</v>
      </c>
      <c r="D18">
        <v>120</v>
      </c>
    </row>
    <row r="20" spans="2:5" ht="15">
      <c r="B20" t="s">
        <v>21</v>
      </c>
      <c r="D20">
        <v>100</v>
      </c>
    </row>
    <row r="22" spans="2:5">
      <c r="B22" t="s">
        <v>22</v>
      </c>
      <c r="D22">
        <v>10</v>
      </c>
    </row>
    <row r="24" spans="2:5" ht="15" thickBot="1">
      <c r="C24" s="2" t="s">
        <v>5</v>
      </c>
    </row>
    <row r="25" spans="2:5" ht="15">
      <c r="B25" t="s">
        <v>24</v>
      </c>
      <c r="C25" s="24" t="s">
        <v>46</v>
      </c>
      <c r="D25" s="17"/>
      <c r="E25" s="18"/>
    </row>
    <row r="26" spans="2:5" ht="15" thickBot="1">
      <c r="C26" s="19" t="s">
        <v>26</v>
      </c>
      <c r="D26" s="20"/>
      <c r="E26" s="21"/>
    </row>
    <row r="28" spans="2:5" ht="15">
      <c r="B28" t="s">
        <v>23</v>
      </c>
    </row>
    <row r="29" spans="2:5" ht="15">
      <c r="B29" s="1" t="s">
        <v>27</v>
      </c>
      <c r="D29" s="22">
        <v>0.95</v>
      </c>
    </row>
    <row r="30" spans="2:5" ht="15">
      <c r="B30" t="s">
        <v>29</v>
      </c>
      <c r="D30" s="22">
        <f>-C11+100%</f>
        <v>5.0000000000000044E-2</v>
      </c>
    </row>
    <row r="31" spans="2:5">
      <c r="B31" s="23" t="s">
        <v>28</v>
      </c>
      <c r="D31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tabSelected="1" topLeftCell="A2" zoomScale="120" zoomScaleNormal="120" workbookViewId="0">
      <selection activeCell="F9" sqref="F9"/>
    </sheetView>
  </sheetViews>
  <sheetFormatPr baseColWidth="10" defaultRowHeight="14.25"/>
  <sheetData>
    <row r="2" spans="2:3" ht="15">
      <c r="B2" s="3" t="s">
        <v>33</v>
      </c>
    </row>
    <row r="3" spans="2:3" ht="15">
      <c r="B3" s="3"/>
    </row>
    <row r="4" spans="2:3" ht="15">
      <c r="B4" t="s">
        <v>41</v>
      </c>
    </row>
    <row r="6" spans="2:3" ht="15">
      <c r="B6" t="s">
        <v>38</v>
      </c>
    </row>
    <row r="8" spans="2:3" ht="15">
      <c r="B8" t="s">
        <v>39</v>
      </c>
    </row>
    <row r="10" spans="2:3" ht="15">
      <c r="B10" s="14" t="s">
        <v>0</v>
      </c>
    </row>
    <row r="11" spans="2:3" ht="15">
      <c r="C11" s="2" t="s">
        <v>4</v>
      </c>
    </row>
    <row r="12" spans="2:3" ht="15">
      <c r="B12" t="s">
        <v>2</v>
      </c>
      <c r="C12" t="s">
        <v>34</v>
      </c>
    </row>
    <row r="14" spans="2:3">
      <c r="B14" t="s">
        <v>40</v>
      </c>
    </row>
    <row r="15" spans="2:3" ht="15">
      <c r="C15" t="s">
        <v>35</v>
      </c>
    </row>
    <row r="17" spans="2:4" ht="15">
      <c r="B17" t="s">
        <v>1</v>
      </c>
      <c r="C17">
        <v>1500</v>
      </c>
    </row>
    <row r="19" spans="2:4">
      <c r="C19" s="2" t="s">
        <v>5</v>
      </c>
    </row>
    <row r="20" spans="2:4" ht="15">
      <c r="B20" t="s">
        <v>47</v>
      </c>
    </row>
    <row r="22" spans="2:4" ht="15">
      <c r="B22" t="s">
        <v>36</v>
      </c>
    </row>
    <row r="24" spans="2:4" ht="15">
      <c r="B24" t="s">
        <v>37</v>
      </c>
    </row>
    <row r="26" spans="2:4">
      <c r="B26" t="s">
        <v>43</v>
      </c>
      <c r="D26" t="s">
        <v>44</v>
      </c>
    </row>
    <row r="27" spans="2:4">
      <c r="B2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Certeza</vt:lpstr>
      <vt:lpstr>Riesgo</vt:lpstr>
      <vt:lpstr>Incertidumbre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2023-08-05T07:47:56Z</dcterms:created>
  <dcterms:modified xsi:type="dcterms:W3CDTF">2023-08-05T11:08:05Z</dcterms:modified>
</cp:coreProperties>
</file>