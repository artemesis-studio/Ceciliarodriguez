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20" yWindow="-120" windowWidth="19320" windowHeight="15000"/>
  </bookViews>
  <sheets>
    <sheet name="total" sheetId="1" r:id="rId1"/>
    <sheet name="Determinar" sheetId="4" r:id="rId2"/>
    <sheet name="Ganancia Mínima" sheetId="2" r:id="rId3"/>
    <sheet name="dos productos" sheetId="3" r:id="rId4"/>
  </sheet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" i="4"/>
  <c r="D21" s="1"/>
  <c r="D23" s="1"/>
  <c r="D14"/>
  <c r="D19" s="1"/>
  <c r="D9"/>
  <c r="C35" i="1"/>
  <c r="D20" i="4" l="1"/>
  <c r="D15"/>
  <c r="F17" i="1"/>
  <c r="G10"/>
  <c r="G14" s="1"/>
  <c r="G15" s="1"/>
  <c r="D18"/>
  <c r="C25" s="1"/>
  <c r="D14"/>
  <c r="D15" s="1"/>
  <c r="C26" s="1"/>
  <c r="D9"/>
  <c r="D21" l="1"/>
  <c r="D23" s="1"/>
  <c r="D19"/>
  <c r="D20" s="1"/>
  <c r="D25"/>
  <c r="F14"/>
  <c r="F15" s="1"/>
  <c r="G16" s="1"/>
  <c r="F18" s="1"/>
  <c r="G17" s="1"/>
</calcChain>
</file>

<file path=xl/sharedStrings.xml><?xml version="1.0" encoding="utf-8"?>
<sst xmlns="http://schemas.openxmlformats.org/spreadsheetml/2006/main" count="94" uniqueCount="39">
  <si>
    <t>COSTO DE VENTAS</t>
  </si>
  <si>
    <t>GASTOS COMERCIALES</t>
  </si>
  <si>
    <t>GASTOS ADMINISTRACIÓN</t>
  </si>
  <si>
    <t>ALQUILERES</t>
  </si>
  <si>
    <t>AMORTIZACIONES</t>
  </si>
  <si>
    <t>UTILIDAD NETA</t>
  </si>
  <si>
    <t>VENTA</t>
  </si>
  <si>
    <t>CONTRIBUCION MARGINAL</t>
  </si>
  <si>
    <t>PUNTO DE EQUILIBRIO</t>
  </si>
  <si>
    <t>ECONÓMICO</t>
  </si>
  <si>
    <t>PUNTO DE CIERRE</t>
  </si>
  <si>
    <t>FINANCIERO</t>
  </si>
  <si>
    <t>STANDARD</t>
  </si>
  <si>
    <t>LUJO</t>
  </si>
  <si>
    <t>contribución</t>
  </si>
  <si>
    <t xml:space="preserve">marginal </t>
  </si>
  <si>
    <t>relativa</t>
  </si>
  <si>
    <t>VENTAS</t>
  </si>
  <si>
    <t>promedio</t>
  </si>
  <si>
    <t>ponderado</t>
  </si>
  <si>
    <t>GASTOS FIJOS</t>
  </si>
  <si>
    <t>PEE</t>
  </si>
  <si>
    <t>?</t>
  </si>
  <si>
    <t>VENTA HOY</t>
  </si>
  <si>
    <t>CF+GANANCIA</t>
  </si>
  <si>
    <t>cm</t>
  </si>
  <si>
    <t>absolutaCM</t>
  </si>
  <si>
    <t>relativa cm</t>
  </si>
  <si>
    <t>demostración</t>
  </si>
  <si>
    <t>cuál será la utilidad neta</t>
  </si>
  <si>
    <t>(1) DETERMINAR EL PEE Y EL PCF</t>
  </si>
  <si>
    <t xml:space="preserve">(2) ANTERIOR: VENTA PARA OBTENER GANANCIA DE </t>
  </si>
  <si>
    <t>VENTA TOTAL</t>
  </si>
  <si>
    <t>(3) CONTRIBUCION MARGINAL</t>
  </si>
  <si>
    <t>RELATIVA CON DOS PRODUCTOS</t>
  </si>
  <si>
    <t>CM absoluta</t>
  </si>
  <si>
    <t xml:space="preserve"> cm relativa</t>
  </si>
  <si>
    <t>GASTOS FIJOS TOTALES</t>
  </si>
  <si>
    <t>… y cuál será la utilidad neta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</si>
</sst>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8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0" xfId="0" applyBorder="1"/>
    <xf numFmtId="0" fontId="5" fillId="0" borderId="0" xfId="0" applyFont="1" applyBorder="1"/>
    <xf numFmtId="0" fontId="0" fillId="0" borderId="3" xfId="0" applyBorder="1"/>
    <xf numFmtId="9" fontId="0" fillId="0" borderId="0" xfId="0" applyNumberFormat="1" applyBorder="1"/>
    <xf numFmtId="0" fontId="3" fillId="0" borderId="2" xfId="0" applyFont="1" applyBorder="1"/>
    <xf numFmtId="0" fontId="2" fillId="0" borderId="2" xfId="0" applyFont="1" applyBorder="1"/>
    <xf numFmtId="0" fontId="2" fillId="0" borderId="0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9" fontId="0" fillId="0" borderId="11" xfId="0" applyNumberFormat="1" applyBorder="1"/>
    <xf numFmtId="0" fontId="0" fillId="0" borderId="12" xfId="0" applyBorder="1"/>
    <xf numFmtId="9" fontId="0" fillId="0" borderId="0" xfId="1" applyFont="1" applyBorder="1"/>
    <xf numFmtId="9" fontId="0" fillId="0" borderId="11" xfId="1" applyFont="1" applyBorder="1"/>
    <xf numFmtId="0" fontId="0" fillId="0" borderId="13" xfId="0" applyBorder="1"/>
    <xf numFmtId="0" fontId="3" fillId="0" borderId="0" xfId="0" applyFont="1" applyBorder="1"/>
    <xf numFmtId="0" fontId="2" fillId="0" borderId="11" xfId="0" applyFont="1" applyBorder="1"/>
    <xf numFmtId="0" fontId="4" fillId="0" borderId="0" xfId="0" applyFont="1" applyBorder="1"/>
    <xf numFmtId="0" fontId="2" fillId="0" borderId="12" xfId="0" applyFont="1" applyBorder="1"/>
    <xf numFmtId="0" fontId="2" fillId="0" borderId="7" xfId="0" applyFont="1" applyBorder="1"/>
    <xf numFmtId="0" fontId="6" fillId="0" borderId="2" xfId="0" applyFont="1" applyBorder="1"/>
    <xf numFmtId="0" fontId="2" fillId="0" borderId="0" xfId="0" applyFont="1" applyFill="1" applyBorder="1"/>
    <xf numFmtId="0" fontId="2" fillId="0" borderId="8" xfId="0" applyFont="1" applyBorder="1"/>
    <xf numFmtId="0" fontId="2" fillId="0" borderId="9" xfId="0" applyFont="1" applyBorder="1"/>
    <xf numFmtId="0" fontId="6" fillId="0" borderId="14" xfId="0" applyFont="1" applyBorder="1"/>
    <xf numFmtId="0" fontId="2" fillId="0" borderId="15" xfId="0" applyFont="1" applyBorder="1"/>
    <xf numFmtId="0" fontId="2" fillId="0" borderId="16" xfId="0" applyFont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7" xfId="0" applyBorder="1"/>
    <xf numFmtId="0" fontId="0" fillId="0" borderId="13" xfId="0" applyFill="1" applyBorder="1"/>
    <xf numFmtId="9" fontId="0" fillId="0" borderId="8" xfId="0" applyNumberFormat="1" applyBorder="1"/>
    <xf numFmtId="9" fontId="0" fillId="0" borderId="9" xfId="0" applyNumberFormat="1" applyBorder="1"/>
    <xf numFmtId="0" fontId="2" fillId="0" borderId="13" xfId="0" applyFont="1" applyFill="1" applyBorder="1"/>
    <xf numFmtId="0" fontId="2" fillId="0" borderId="1" xfId="0" applyFont="1" applyBorder="1"/>
    <xf numFmtId="9" fontId="2" fillId="0" borderId="12" xfId="1" applyFont="1" applyBorder="1"/>
    <xf numFmtId="9" fontId="0" fillId="0" borderId="1" xfId="1" applyFont="1" applyBorder="1"/>
    <xf numFmtId="0" fontId="7" fillId="0" borderId="0" xfId="0" applyFont="1" applyFill="1" applyBorder="1"/>
    <xf numFmtId="0" fontId="7" fillId="0" borderId="0" xfId="0" applyFont="1" applyBorder="1"/>
    <xf numFmtId="0" fontId="7" fillId="0" borderId="11" xfId="0" applyFont="1" applyBorder="1"/>
    <xf numFmtId="0" fontId="8" fillId="0" borderId="1" xfId="0" applyFont="1" applyBorder="1"/>
    <xf numFmtId="0" fontId="8" fillId="0" borderId="12" xfId="0" applyFont="1" applyBorder="1"/>
    <xf numFmtId="0" fontId="0" fillId="0" borderId="0" xfId="0" applyBorder="1" applyAlignment="1">
      <alignment horizontal="center"/>
    </xf>
    <xf numFmtId="0" fontId="0" fillId="0" borderId="11" xfId="0" applyBorder="1" applyAlignment="1">
      <alignment horizontal="center"/>
    </xf>
    <xf numFmtId="9" fontId="0" fillId="0" borderId="0" xfId="0" applyNumberFormat="1" applyBorder="1" applyAlignment="1">
      <alignment horizontal="center"/>
    </xf>
    <xf numFmtId="9" fontId="0" fillId="0" borderId="1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2" xfId="0" applyBorder="1" applyAlignment="1">
      <alignment horizontal="center"/>
    </xf>
    <xf numFmtId="9" fontId="0" fillId="0" borderId="0" xfId="1" applyFont="1" applyBorder="1" applyAlignment="1">
      <alignment horizontal="center"/>
    </xf>
    <xf numFmtId="9" fontId="0" fillId="0" borderId="11" xfId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9" fontId="2" fillId="0" borderId="11" xfId="1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5" fillId="0" borderId="0" xfId="0" applyFont="1" applyBorder="1" applyAlignment="1">
      <alignment horizontal="center"/>
    </xf>
  </cellXfs>
  <cellStyles count="2">
    <cellStyle name="Normal" xfId="0" builtinId="0"/>
    <cellStyle name="Porcentual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7"/>
  <sheetViews>
    <sheetView tabSelected="1" workbookViewId="0">
      <selection activeCell="L4" sqref="L4"/>
    </sheetView>
  </sheetViews>
  <sheetFormatPr baseColWidth="10" defaultRowHeight="15"/>
  <sheetData>
    <row r="1" spans="1:7">
      <c r="A1" s="27" t="s">
        <v>30</v>
      </c>
      <c r="B1" s="14"/>
      <c r="C1" s="14"/>
      <c r="D1" s="15"/>
      <c r="E1" s="30" t="s">
        <v>33</v>
      </c>
      <c r="F1" s="30"/>
      <c r="G1" s="31"/>
    </row>
    <row r="2" spans="1:7">
      <c r="A2" s="16"/>
      <c r="B2" s="4"/>
      <c r="C2" s="4"/>
      <c r="D2" s="17"/>
      <c r="E2" s="1" t="s">
        <v>34</v>
      </c>
      <c r="F2" s="1"/>
      <c r="G2" s="1"/>
    </row>
    <row r="3" spans="1:7">
      <c r="A3" s="16"/>
      <c r="B3" s="4" t="s">
        <v>17</v>
      </c>
      <c r="C3" s="4"/>
      <c r="D3" s="52">
        <v>100</v>
      </c>
      <c r="E3" s="47" t="s">
        <v>37</v>
      </c>
      <c r="F3" s="47"/>
      <c r="G3" s="48">
        <v>120</v>
      </c>
    </row>
    <row r="4" spans="1:7">
      <c r="A4" s="16"/>
      <c r="B4" s="4" t="s">
        <v>0</v>
      </c>
      <c r="C4" s="4"/>
      <c r="D4" s="52">
        <v>-50</v>
      </c>
      <c r="E4" s="4"/>
      <c r="F4" s="4" t="s">
        <v>12</v>
      </c>
      <c r="G4" s="17" t="s">
        <v>13</v>
      </c>
    </row>
    <row r="5" spans="1:7">
      <c r="A5" s="16"/>
      <c r="B5" s="4" t="s">
        <v>1</v>
      </c>
      <c r="C5" s="4"/>
      <c r="D5" s="52">
        <v>-10</v>
      </c>
      <c r="E5" s="4" t="s">
        <v>14</v>
      </c>
      <c r="F5" s="4"/>
      <c r="G5" s="17"/>
    </row>
    <row r="6" spans="1:7">
      <c r="A6" s="16"/>
      <c r="B6" s="23" t="s">
        <v>2</v>
      </c>
      <c r="C6" s="4"/>
      <c r="D6" s="52">
        <v>-10</v>
      </c>
      <c r="E6" s="4" t="s">
        <v>15</v>
      </c>
      <c r="F6" s="4"/>
      <c r="G6" s="17"/>
    </row>
    <row r="7" spans="1:7">
      <c r="A7" s="16"/>
      <c r="B7" s="4" t="s">
        <v>3</v>
      </c>
      <c r="C7" s="4"/>
      <c r="D7" s="52">
        <v>-10</v>
      </c>
      <c r="E7" s="4" t="s">
        <v>16</v>
      </c>
      <c r="F7" s="53">
        <v>0.1</v>
      </c>
      <c r="G7" s="54">
        <v>0.2</v>
      </c>
    </row>
    <row r="8" spans="1:7">
      <c r="A8" s="16"/>
      <c r="B8" s="4" t="s">
        <v>4</v>
      </c>
      <c r="C8" s="4"/>
      <c r="D8" s="52">
        <v>-10</v>
      </c>
      <c r="E8" s="4"/>
      <c r="F8" s="51"/>
      <c r="G8" s="52"/>
    </row>
    <row r="9" spans="1:7">
      <c r="A9" s="16"/>
      <c r="B9" s="10" t="s">
        <v>5</v>
      </c>
      <c r="C9" s="10"/>
      <c r="D9" s="61">
        <f>SUM(D3:D8)</f>
        <v>10</v>
      </c>
      <c r="E9" s="4" t="s">
        <v>23</v>
      </c>
      <c r="F9" s="55">
        <v>800</v>
      </c>
      <c r="G9" s="56">
        <v>200</v>
      </c>
    </row>
    <row r="10" spans="1:7">
      <c r="A10" s="16"/>
      <c r="B10" s="4"/>
      <c r="C10" s="4"/>
      <c r="D10" s="52"/>
      <c r="E10" s="46" t="s">
        <v>32</v>
      </c>
      <c r="F10" s="62"/>
      <c r="G10" s="63">
        <f>SUM(F9:G9)</f>
        <v>1000</v>
      </c>
    </row>
    <row r="11" spans="1:7">
      <c r="A11" s="16"/>
      <c r="B11" s="4" t="s">
        <v>6</v>
      </c>
      <c r="C11" s="4"/>
      <c r="D11" s="52">
        <v>100</v>
      </c>
      <c r="F11" s="51" t="s">
        <v>12</v>
      </c>
      <c r="G11" s="52" t="s">
        <v>13</v>
      </c>
    </row>
    <row r="12" spans="1:7">
      <c r="A12" s="16"/>
      <c r="B12" s="4" t="s">
        <v>0</v>
      </c>
      <c r="C12" s="4"/>
      <c r="D12" s="52">
        <v>-50</v>
      </c>
      <c r="E12" s="4" t="s">
        <v>14</v>
      </c>
      <c r="F12" s="53">
        <v>0.1</v>
      </c>
      <c r="G12" s="54">
        <v>0.2</v>
      </c>
    </row>
    <row r="13" spans="1:7">
      <c r="A13" s="16"/>
      <c r="B13" s="4" t="s">
        <v>1</v>
      </c>
      <c r="C13" s="4"/>
      <c r="D13" s="52">
        <v>-10</v>
      </c>
      <c r="E13" s="4" t="s">
        <v>18</v>
      </c>
      <c r="F13" s="51"/>
      <c r="G13" s="52"/>
    </row>
    <row r="14" spans="1:7">
      <c r="A14" s="16" t="s">
        <v>26</v>
      </c>
      <c r="B14" s="25" t="s">
        <v>7</v>
      </c>
      <c r="C14" s="10"/>
      <c r="D14" s="61">
        <f>SUM(D11:D13)</f>
        <v>40</v>
      </c>
      <c r="E14" s="4" t="s">
        <v>19</v>
      </c>
      <c r="F14" s="55">
        <f>800/G10</f>
        <v>0.8</v>
      </c>
      <c r="G14" s="56">
        <f>200/G10</f>
        <v>0.2</v>
      </c>
    </row>
    <row r="15" spans="1:7">
      <c r="A15" s="16" t="s">
        <v>27</v>
      </c>
      <c r="B15" s="4"/>
      <c r="C15" s="4"/>
      <c r="D15" s="58">
        <f>+D14/D3</f>
        <v>0.4</v>
      </c>
      <c r="E15" s="4"/>
      <c r="F15" s="57">
        <f>+F12*F14</f>
        <v>8.0000000000000016E-2</v>
      </c>
      <c r="G15" s="58">
        <f>+G12*G14</f>
        <v>4.0000000000000008E-2</v>
      </c>
    </row>
    <row r="16" spans="1:7">
      <c r="A16" s="16"/>
      <c r="B16" s="4"/>
      <c r="C16" s="4"/>
      <c r="D16" s="52"/>
      <c r="E16" s="29" t="s">
        <v>25</v>
      </c>
      <c r="F16" s="59"/>
      <c r="G16" s="60">
        <f>SUM(F15:G15)</f>
        <v>0.12000000000000002</v>
      </c>
    </row>
    <row r="17" spans="1:7">
      <c r="A17" s="16"/>
      <c r="B17" s="4"/>
      <c r="C17" s="4"/>
      <c r="D17" s="52"/>
      <c r="E17" s="4" t="s">
        <v>21</v>
      </c>
      <c r="F17" s="55">
        <f>+G3</f>
        <v>120</v>
      </c>
      <c r="G17" s="61">
        <f>+F17/F18</f>
        <v>999.99999999999977</v>
      </c>
    </row>
    <row r="18" spans="1:7">
      <c r="A18" s="16"/>
      <c r="B18" s="10" t="s">
        <v>8</v>
      </c>
      <c r="C18" s="10"/>
      <c r="D18" s="56">
        <f>-SUM(D6:D8)</f>
        <v>30</v>
      </c>
      <c r="E18" s="4"/>
      <c r="F18" s="57">
        <f>$G$16</f>
        <v>0.12000000000000002</v>
      </c>
      <c r="G18" s="52"/>
    </row>
    <row r="19" spans="1:7">
      <c r="A19" s="16"/>
      <c r="B19" s="10" t="s">
        <v>9</v>
      </c>
      <c r="C19" s="10"/>
      <c r="D19" s="58">
        <f>+D14/D3</f>
        <v>0.4</v>
      </c>
      <c r="E19" s="49" t="s">
        <v>38</v>
      </c>
      <c r="F19" s="49"/>
      <c r="G19" s="50" t="s">
        <v>22</v>
      </c>
    </row>
    <row r="20" spans="1:7">
      <c r="A20" s="16"/>
      <c r="B20" s="4"/>
      <c r="C20" s="4"/>
      <c r="D20" s="61">
        <f>+D18/D19</f>
        <v>75</v>
      </c>
    </row>
    <row r="21" spans="1:7">
      <c r="A21" s="16"/>
      <c r="B21" s="10" t="s">
        <v>10</v>
      </c>
      <c r="C21" s="10"/>
      <c r="D21" s="56">
        <f>+D18+D8</f>
        <v>20</v>
      </c>
    </row>
    <row r="22" spans="1:7">
      <c r="A22" s="16"/>
      <c r="B22" s="10" t="s">
        <v>11</v>
      </c>
      <c r="C22" s="10"/>
      <c r="D22" s="58">
        <v>0.4</v>
      </c>
    </row>
    <row r="23" spans="1:7">
      <c r="A23" s="22"/>
      <c r="B23" s="2"/>
      <c r="C23" s="2"/>
      <c r="D23" s="64">
        <f>+D21/D22</f>
        <v>50</v>
      </c>
    </row>
    <row r="24" spans="1:7">
      <c r="A24" s="28" t="s">
        <v>31</v>
      </c>
      <c r="B24" s="10"/>
      <c r="C24" s="10"/>
      <c r="D24" s="65">
        <v>20</v>
      </c>
    </row>
    <row r="25" spans="1:7">
      <c r="A25" s="3" t="s">
        <v>24</v>
      </c>
      <c r="B25" s="4"/>
      <c r="C25" s="67">
        <f>+D18+D24</f>
        <v>50</v>
      </c>
      <c r="D25" s="66">
        <f>+C25/C26</f>
        <v>125</v>
      </c>
    </row>
    <row r="26" spans="1:7">
      <c r="A26" s="3" t="s">
        <v>25</v>
      </c>
      <c r="B26" s="4"/>
      <c r="C26" s="53">
        <f>+D15</f>
        <v>0.4</v>
      </c>
      <c r="D26" s="6"/>
    </row>
    <row r="27" spans="1:7">
      <c r="A27" s="3"/>
      <c r="B27" s="4"/>
      <c r="C27" s="51"/>
      <c r="D27" s="6"/>
    </row>
    <row r="28" spans="1:7">
      <c r="A28" s="3" t="s">
        <v>28</v>
      </c>
      <c r="B28" s="4"/>
      <c r="C28" s="51"/>
      <c r="D28" s="6"/>
    </row>
    <row r="29" spans="1:7">
      <c r="A29" s="3" t="s">
        <v>17</v>
      </c>
      <c r="B29" s="4"/>
      <c r="C29" s="51">
        <v>125</v>
      </c>
      <c r="D29" s="6"/>
    </row>
    <row r="30" spans="1:7">
      <c r="A30" s="3" t="s">
        <v>0</v>
      </c>
      <c r="B30" s="4"/>
      <c r="C30" s="51">
        <v>-62.5</v>
      </c>
      <c r="D30" s="6"/>
    </row>
    <row r="31" spans="1:7">
      <c r="A31" s="3" t="s">
        <v>1</v>
      </c>
      <c r="B31" s="4"/>
      <c r="C31" s="51">
        <v>-12.5</v>
      </c>
      <c r="D31" s="6"/>
    </row>
    <row r="32" spans="1:7">
      <c r="A32" s="8" t="s">
        <v>2</v>
      </c>
      <c r="B32" s="4"/>
      <c r="C32" s="51">
        <v>-10</v>
      </c>
      <c r="D32" s="6"/>
    </row>
    <row r="33" spans="1:4">
      <c r="A33" s="3" t="s">
        <v>3</v>
      </c>
      <c r="B33" s="4"/>
      <c r="C33" s="51">
        <v>-10</v>
      </c>
      <c r="D33" s="6"/>
    </row>
    <row r="34" spans="1:4">
      <c r="A34" s="3" t="s">
        <v>4</v>
      </c>
      <c r="B34" s="4"/>
      <c r="C34" s="51">
        <v>-10</v>
      </c>
      <c r="D34" s="6"/>
    </row>
    <row r="35" spans="1:4">
      <c r="A35" s="9" t="s">
        <v>5</v>
      </c>
      <c r="B35" s="10"/>
      <c r="C35" s="59">
        <f>SUM(C29:C34)</f>
        <v>20</v>
      </c>
      <c r="D35" s="6"/>
    </row>
    <row r="36" spans="1:4">
      <c r="A36" s="3"/>
      <c r="B36" s="4"/>
      <c r="C36" s="4"/>
      <c r="D36" s="6"/>
    </row>
    <row r="37" spans="1:4" ht="15.75" thickBot="1">
      <c r="A37" s="11"/>
      <c r="B37" s="12"/>
      <c r="C37" s="12"/>
      <c r="D37" s="13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3"/>
  <sheetViews>
    <sheetView zoomScaleNormal="100" workbookViewId="0">
      <selection activeCell="F15" sqref="F15"/>
    </sheetView>
  </sheetViews>
  <sheetFormatPr baseColWidth="10" defaultRowHeight="15"/>
  <sheetData>
    <row r="1" spans="1:4">
      <c r="A1" s="27" t="s">
        <v>30</v>
      </c>
      <c r="B1" s="14"/>
      <c r="C1" s="14"/>
      <c r="D1" s="15"/>
    </row>
    <row r="2" spans="1:4">
      <c r="A2" s="16"/>
      <c r="B2" s="4"/>
      <c r="C2" s="4"/>
      <c r="D2" s="17"/>
    </row>
    <row r="3" spans="1:4">
      <c r="A3" s="16"/>
      <c r="B3" s="4" t="s">
        <v>17</v>
      </c>
      <c r="C3" s="4"/>
      <c r="D3" s="17">
        <v>100</v>
      </c>
    </row>
    <row r="4" spans="1:4">
      <c r="A4" s="16"/>
      <c r="B4" s="4" t="s">
        <v>0</v>
      </c>
      <c r="C4" s="4"/>
      <c r="D4" s="17">
        <v>-50</v>
      </c>
    </row>
    <row r="5" spans="1:4">
      <c r="A5" s="16"/>
      <c r="B5" s="4" t="s">
        <v>1</v>
      </c>
      <c r="C5" s="4"/>
      <c r="D5" s="17">
        <v>-10</v>
      </c>
    </row>
    <row r="6" spans="1:4">
      <c r="A6" s="16"/>
      <c r="B6" s="23" t="s">
        <v>2</v>
      </c>
      <c r="C6" s="4"/>
      <c r="D6" s="17">
        <v>-10</v>
      </c>
    </row>
    <row r="7" spans="1:4">
      <c r="A7" s="16"/>
      <c r="B7" s="4" t="s">
        <v>3</v>
      </c>
      <c r="C7" s="4"/>
      <c r="D7" s="17">
        <v>-10</v>
      </c>
    </row>
    <row r="8" spans="1:4">
      <c r="A8" s="16"/>
      <c r="B8" s="4" t="s">
        <v>4</v>
      </c>
      <c r="C8" s="4"/>
      <c r="D8" s="17">
        <v>-10</v>
      </c>
    </row>
    <row r="9" spans="1:4">
      <c r="A9" s="16"/>
      <c r="B9" s="10" t="s">
        <v>5</v>
      </c>
      <c r="C9" s="10"/>
      <c r="D9" s="24">
        <f>SUM(D3:D8)</f>
        <v>10</v>
      </c>
    </row>
    <row r="10" spans="1:4">
      <c r="A10" s="16"/>
      <c r="B10" s="4"/>
      <c r="C10" s="4"/>
      <c r="D10" s="17"/>
    </row>
    <row r="11" spans="1:4">
      <c r="A11" s="16"/>
      <c r="B11" s="4" t="s">
        <v>6</v>
      </c>
      <c r="C11" s="4"/>
      <c r="D11" s="17">
        <v>100</v>
      </c>
    </row>
    <row r="12" spans="1:4">
      <c r="A12" s="16"/>
      <c r="B12" s="4" t="s">
        <v>0</v>
      </c>
      <c r="C12" s="4"/>
      <c r="D12" s="17">
        <v>-50</v>
      </c>
    </row>
    <row r="13" spans="1:4">
      <c r="A13" s="16"/>
      <c r="B13" s="4" t="s">
        <v>1</v>
      </c>
      <c r="C13" s="4"/>
      <c r="D13" s="17">
        <v>-10</v>
      </c>
    </row>
    <row r="14" spans="1:4">
      <c r="A14" s="16" t="s">
        <v>35</v>
      </c>
      <c r="B14" s="25" t="s">
        <v>7</v>
      </c>
      <c r="C14" s="10"/>
      <c r="D14" s="24">
        <f>SUM(D11:D13)</f>
        <v>40</v>
      </c>
    </row>
    <row r="15" spans="1:4">
      <c r="A15" s="16" t="s">
        <v>36</v>
      </c>
      <c r="B15" s="4"/>
      <c r="C15" s="4"/>
      <c r="D15" s="21">
        <f>+D14/D3</f>
        <v>0.4</v>
      </c>
    </row>
    <row r="16" spans="1:4">
      <c r="A16" s="16"/>
      <c r="B16" s="4"/>
      <c r="C16" s="4"/>
      <c r="D16" s="17"/>
    </row>
    <row r="17" spans="1:4">
      <c r="A17" s="16"/>
      <c r="B17" s="4"/>
      <c r="C17" s="4"/>
      <c r="D17" s="17"/>
    </row>
    <row r="18" spans="1:4">
      <c r="A18" s="16"/>
      <c r="B18" s="10" t="s">
        <v>8</v>
      </c>
      <c r="C18" s="10"/>
      <c r="D18" s="19">
        <f>-SUM(D6:D8)</f>
        <v>30</v>
      </c>
    </row>
    <row r="19" spans="1:4">
      <c r="A19" s="16"/>
      <c r="B19" s="10" t="s">
        <v>9</v>
      </c>
      <c r="C19" s="10"/>
      <c r="D19" s="21">
        <f>+D14/D3</f>
        <v>0.4</v>
      </c>
    </row>
    <row r="20" spans="1:4">
      <c r="A20" s="16"/>
      <c r="B20" s="4"/>
      <c r="C20" s="4"/>
      <c r="D20" s="24">
        <f>+D18/D19</f>
        <v>75</v>
      </c>
    </row>
    <row r="21" spans="1:4">
      <c r="A21" s="16"/>
      <c r="B21" s="10" t="s">
        <v>10</v>
      </c>
      <c r="C21" s="10"/>
      <c r="D21" s="19">
        <f>+D18+D8</f>
        <v>20</v>
      </c>
    </row>
    <row r="22" spans="1:4">
      <c r="A22" s="16"/>
      <c r="B22" s="10" t="s">
        <v>11</v>
      </c>
      <c r="C22" s="10"/>
      <c r="D22" s="21">
        <v>0.4</v>
      </c>
    </row>
    <row r="23" spans="1:4">
      <c r="A23" s="22"/>
      <c r="B23" s="2"/>
      <c r="C23" s="2"/>
      <c r="D23" s="26">
        <f>+D21/D22</f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zoomScale="200" zoomScaleNormal="200" workbookViewId="0">
      <selection activeCell="A18" sqref="A18"/>
    </sheetView>
  </sheetViews>
  <sheetFormatPr baseColWidth="10" defaultRowHeight="15"/>
  <sheetData>
    <row r="1" spans="1:4">
      <c r="A1" s="32" t="s">
        <v>31</v>
      </c>
      <c r="B1" s="33"/>
      <c r="C1" s="33"/>
      <c r="D1" s="34">
        <v>20</v>
      </c>
    </row>
    <row r="2" spans="1:4">
      <c r="A2" s="3" t="s">
        <v>24</v>
      </c>
      <c r="B2" s="4"/>
      <c r="C2" s="5">
        <v>50</v>
      </c>
      <c r="D2" s="6">
        <v>125</v>
      </c>
    </row>
    <row r="3" spans="1:4">
      <c r="A3" s="3" t="s">
        <v>25</v>
      </c>
      <c r="B3" s="4"/>
      <c r="C3" s="7">
        <v>0.4</v>
      </c>
      <c r="D3" s="6"/>
    </row>
    <row r="4" spans="1:4">
      <c r="A4" s="3"/>
      <c r="B4" s="4"/>
      <c r="C4" s="4"/>
      <c r="D4" s="6"/>
    </row>
    <row r="5" spans="1:4">
      <c r="A5" s="3" t="s">
        <v>28</v>
      </c>
      <c r="B5" s="4"/>
      <c r="C5" s="4"/>
      <c r="D5" s="6"/>
    </row>
    <row r="6" spans="1:4">
      <c r="A6" s="3" t="s">
        <v>17</v>
      </c>
      <c r="B6" s="4"/>
      <c r="C6" s="4">
        <v>125</v>
      </c>
      <c r="D6" s="6"/>
    </row>
    <row r="7" spans="1:4">
      <c r="A7" s="3" t="s">
        <v>0</v>
      </c>
      <c r="B7" s="4"/>
      <c r="C7" s="4">
        <v>-62.5</v>
      </c>
      <c r="D7" s="6"/>
    </row>
    <row r="8" spans="1:4">
      <c r="A8" s="3" t="s">
        <v>1</v>
      </c>
      <c r="B8" s="4"/>
      <c r="C8" s="4">
        <v>-12.5</v>
      </c>
      <c r="D8" s="6"/>
    </row>
    <row r="9" spans="1:4">
      <c r="A9" s="8" t="s">
        <v>2</v>
      </c>
      <c r="B9" s="4"/>
      <c r="C9" s="4">
        <v>-10</v>
      </c>
      <c r="D9" s="6"/>
    </row>
    <row r="10" spans="1:4">
      <c r="A10" s="3" t="s">
        <v>3</v>
      </c>
      <c r="B10" s="4"/>
      <c r="C10" s="4">
        <v>-10</v>
      </c>
      <c r="D10" s="6"/>
    </row>
    <row r="11" spans="1:4">
      <c r="A11" s="3" t="s">
        <v>4</v>
      </c>
      <c r="B11" s="4"/>
      <c r="C11" s="4">
        <v>-10</v>
      </c>
      <c r="D11" s="6"/>
    </row>
    <row r="12" spans="1:4">
      <c r="A12" s="9" t="s">
        <v>5</v>
      </c>
      <c r="B12" s="10"/>
      <c r="C12" s="10">
        <v>20</v>
      </c>
      <c r="D12" s="6"/>
    </row>
    <row r="13" spans="1:4" ht="15.75" thickBot="1">
      <c r="A13" s="11"/>
      <c r="B13" s="12"/>
      <c r="C13" s="12"/>
      <c r="D13" s="1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"/>
  <sheetViews>
    <sheetView topLeftCell="A2" zoomScale="200" zoomScaleNormal="200" workbookViewId="0">
      <selection activeCell="E8" sqref="E8"/>
    </sheetView>
  </sheetViews>
  <sheetFormatPr baseColWidth="10" defaultRowHeight="15"/>
  <sheetData>
    <row r="1" spans="1:3">
      <c r="A1" s="30" t="s">
        <v>33</v>
      </c>
      <c r="B1" s="30"/>
      <c r="C1" s="31"/>
    </row>
    <row r="2" spans="1:3">
      <c r="A2" s="1" t="s">
        <v>34</v>
      </c>
      <c r="B2" s="1"/>
      <c r="C2" s="1"/>
    </row>
    <row r="3" spans="1:3">
      <c r="A3" s="35" t="s">
        <v>20</v>
      </c>
      <c r="B3" s="36"/>
      <c r="C3" s="37">
        <v>120</v>
      </c>
    </row>
    <row r="4" spans="1:3">
      <c r="A4" s="38"/>
      <c r="B4" s="14" t="s">
        <v>12</v>
      </c>
      <c r="C4" s="15" t="s">
        <v>13</v>
      </c>
    </row>
    <row r="5" spans="1:3">
      <c r="A5" s="16" t="s">
        <v>14</v>
      </c>
      <c r="B5" s="4"/>
      <c r="C5" s="17"/>
    </row>
    <row r="6" spans="1:3">
      <c r="A6" s="16" t="s">
        <v>15</v>
      </c>
      <c r="B6" s="4"/>
      <c r="C6" s="17"/>
    </row>
    <row r="7" spans="1:3">
      <c r="A7" s="16" t="s">
        <v>16</v>
      </c>
      <c r="B7" s="7">
        <v>0.1</v>
      </c>
      <c r="C7" s="18">
        <v>0.2</v>
      </c>
    </row>
    <row r="8" spans="1:3">
      <c r="A8" s="22"/>
      <c r="B8" s="2"/>
      <c r="C8" s="19"/>
    </row>
    <row r="9" spans="1:3">
      <c r="A9" s="38" t="s">
        <v>23</v>
      </c>
      <c r="B9" s="36">
        <v>800</v>
      </c>
      <c r="C9" s="37">
        <v>200</v>
      </c>
    </row>
    <row r="10" spans="1:3">
      <c r="A10" s="39" t="s">
        <v>32</v>
      </c>
      <c r="B10" s="2"/>
      <c r="C10" s="19">
        <v>1000</v>
      </c>
    </row>
    <row r="11" spans="1:3">
      <c r="A11" s="38" t="s">
        <v>14</v>
      </c>
      <c r="B11" s="40">
        <v>0.1</v>
      </c>
      <c r="C11" s="41">
        <v>0.2</v>
      </c>
    </row>
    <row r="12" spans="1:3">
      <c r="A12" s="16" t="s">
        <v>18</v>
      </c>
      <c r="B12" s="4"/>
      <c r="C12" s="17"/>
    </row>
    <row r="13" spans="1:3">
      <c r="A13" s="16" t="s">
        <v>19</v>
      </c>
      <c r="B13" s="2">
        <v>0.8</v>
      </c>
      <c r="C13" s="19">
        <v>0.2</v>
      </c>
    </row>
    <row r="14" spans="1:3">
      <c r="A14" s="16"/>
      <c r="B14" s="20">
        <v>8.0000000000000016E-2</v>
      </c>
      <c r="C14" s="21">
        <v>4.0000000000000008E-2</v>
      </c>
    </row>
    <row r="15" spans="1:3">
      <c r="A15" s="42" t="s">
        <v>25</v>
      </c>
      <c r="B15" s="43"/>
      <c r="C15" s="44">
        <v>0.12000000000000002</v>
      </c>
    </row>
    <row r="16" spans="1:3">
      <c r="A16" s="38" t="s">
        <v>21</v>
      </c>
      <c r="B16" s="36">
        <v>120</v>
      </c>
      <c r="C16" s="15">
        <v>999.99999999999977</v>
      </c>
    </row>
    <row r="17" spans="1:3">
      <c r="A17" s="22"/>
      <c r="B17" s="45">
        <v>0.12000000000000002</v>
      </c>
      <c r="C17" s="19"/>
    </row>
    <row r="18" spans="1:3">
      <c r="A18" s="2" t="s">
        <v>29</v>
      </c>
      <c r="B18" s="2"/>
      <c r="C18" s="19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total</vt:lpstr>
      <vt:lpstr>Determinar</vt:lpstr>
      <vt:lpstr>Ganancia Mínima</vt:lpstr>
      <vt:lpstr>dos productos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User</cp:lastModifiedBy>
  <cp:lastPrinted>2020-10-17T21:07:21Z</cp:lastPrinted>
  <dcterms:created xsi:type="dcterms:W3CDTF">2020-10-15T16:28:43Z</dcterms:created>
  <dcterms:modified xsi:type="dcterms:W3CDTF">2021-10-07T16:59:06Z</dcterms:modified>
</cp:coreProperties>
</file>