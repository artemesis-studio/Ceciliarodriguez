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8780" windowHeight="11385"/>
  </bookViews>
  <sheets>
    <sheet name="Fórmulas básicas" sheetId="1" r:id="rId1"/>
    <sheet name="Ejemplo 1" sheetId="2" r:id="rId2"/>
    <sheet name="Ejemplo 2" sheetId="3" r:id="rId3"/>
  </sheets>
  <calcPr calcId="145621"/>
</workbook>
</file>

<file path=xl/calcChain.xml><?xml version="1.0" encoding="utf-8"?>
<calcChain xmlns="http://schemas.openxmlformats.org/spreadsheetml/2006/main">
  <c r="G12" i="3" l="1"/>
  <c r="F6" i="3" s="1"/>
  <c r="E7" i="2"/>
  <c r="G13" i="3" l="1"/>
  <c r="F8" i="3" s="1"/>
</calcChain>
</file>

<file path=xl/sharedStrings.xml><?xml version="1.0" encoding="utf-8"?>
<sst xmlns="http://schemas.openxmlformats.org/spreadsheetml/2006/main" count="53" uniqueCount="39">
  <si>
    <t>DECISIONES DE FINANCIAMIENTO</t>
  </si>
  <si>
    <t>ENDEUDAMIENTO =</t>
  </si>
  <si>
    <t>PASIVO / PATRIMONIO NETO</t>
  </si>
  <si>
    <t>RIESGO</t>
  </si>
  <si>
    <t>COSTO DE CAPITAL</t>
  </si>
  <si>
    <t>k (o)     =</t>
  </si>
  <si>
    <t>ke  * (PN/F)</t>
  </si>
  <si>
    <t>´+ k(i) * (P/F)</t>
  </si>
  <si>
    <t xml:space="preserve">  sin efecto impositivo</t>
  </si>
  <si>
    <t>´+ k(i) * (P/F) (1-t)</t>
  </si>
  <si>
    <t>RENDIMIENTO</t>
  </si>
  <si>
    <t xml:space="preserve">Una empresa PYME tiene activos por </t>
  </si>
  <si>
    <t>1 - t</t>
  </si>
  <si>
    <t>tramos</t>
  </si>
  <si>
    <t>k(o)</t>
  </si>
  <si>
    <t>Sus accionistas ofrecen aportar hasta</t>
  </si>
  <si>
    <t>con un rendimiento mínimo anual del</t>
  </si>
  <si>
    <t xml:space="preserve">Puede tomar deudas por </t>
  </si>
  <si>
    <t>por menor riesgo</t>
  </si>
  <si>
    <t xml:space="preserve">con un costo anual del </t>
  </si>
  <si>
    <t>La tasa del impuesto a las ganancias es</t>
  </si>
  <si>
    <t xml:space="preserve">Admite un endeudamiento de hasta </t>
  </si>
  <si>
    <t>EJEMPLO 1</t>
  </si>
  <si>
    <t xml:space="preserve">PREGUNTA </t>
  </si>
  <si>
    <t>RESPUESTA</t>
  </si>
  <si>
    <t>P+PN=10</t>
  </si>
  <si>
    <t>P/PN=0,5</t>
  </si>
  <si>
    <t>EJEMPLO 2</t>
  </si>
  <si>
    <t>0,5*PN+PN=10</t>
  </si>
  <si>
    <t>PN=1000/1,5=</t>
  </si>
  <si>
    <t>P= 1000-666,67</t>
  </si>
  <si>
    <t>RELACIONES BASICAS</t>
  </si>
  <si>
    <t>activo corriente</t>
  </si>
  <si>
    <t>activo no corriente</t>
  </si>
  <si>
    <t>ESTRUCTURA DE ACTIVOS</t>
  </si>
  <si>
    <t>pasivo (P)</t>
  </si>
  <si>
    <t>patrimonio neto (PN)</t>
  </si>
  <si>
    <t>ESTRUCTURA DE FINANCIAMIENTO (F)</t>
  </si>
  <si>
    <t xml:space="preserve">APUNTES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</si>
</sst>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0" fontId="0" fillId="0" borderId="1" xfId="0" applyNumberFormat="1" applyBorder="1"/>
    <xf numFmtId="0" fontId="2" fillId="0" borderId="1" xfId="0" applyFont="1" applyBorder="1"/>
    <xf numFmtId="10" fontId="0" fillId="0" borderId="0" xfId="2" applyNumberFormat="1" applyFont="1"/>
    <xf numFmtId="10" fontId="0" fillId="0" borderId="1" xfId="2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1" applyNumberFormat="1" applyFont="1"/>
    <xf numFmtId="9" fontId="1" fillId="0" borderId="0" xfId="1" applyNumberFormat="1" applyFont="1"/>
    <xf numFmtId="9" fontId="1" fillId="0" borderId="0" xfId="0" applyNumberFormat="1" applyFont="1"/>
    <xf numFmtId="10" fontId="0" fillId="0" borderId="1" xfId="0" applyNumberFormat="1" applyFont="1" applyBorder="1"/>
    <xf numFmtId="0" fontId="0" fillId="0" borderId="1" xfId="0" applyFont="1" applyBorder="1"/>
    <xf numFmtId="0" fontId="0" fillId="0" borderId="0" xfId="0" applyFont="1"/>
    <xf numFmtId="9" fontId="0" fillId="0" borderId="0" xfId="0" applyNumberFormat="1" applyFont="1"/>
    <xf numFmtId="2" fontId="0" fillId="0" borderId="0" xfId="0" applyNumberFormat="1" applyFont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4" fillId="0" borderId="7" xfId="0" applyFont="1" applyBorder="1"/>
    <xf numFmtId="0" fontId="0" fillId="0" borderId="8" xfId="0" applyBorder="1"/>
    <xf numFmtId="0" fontId="0" fillId="0" borderId="9" xfId="0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18"/>
  <sheetViews>
    <sheetView tabSelected="1" workbookViewId="0">
      <selection activeCell="B32" sqref="B32"/>
    </sheetView>
  </sheetViews>
  <sheetFormatPr baseColWidth="10" defaultRowHeight="15" x14ac:dyDescent="0.25"/>
  <sheetData>
    <row r="1" spans="3:7" x14ac:dyDescent="0.25">
      <c r="D1" s="1" t="s">
        <v>0</v>
      </c>
      <c r="E1" s="1"/>
      <c r="F1" s="1"/>
    </row>
    <row r="2" spans="3:7" x14ac:dyDescent="0.25">
      <c r="D2" s="9" t="s">
        <v>38</v>
      </c>
    </row>
    <row r="4" spans="3:7" x14ac:dyDescent="0.25">
      <c r="C4" s="2" t="s">
        <v>3</v>
      </c>
    </row>
    <row r="5" spans="3:7" x14ac:dyDescent="0.25">
      <c r="C5" t="s">
        <v>1</v>
      </c>
      <c r="E5" t="s">
        <v>2</v>
      </c>
    </row>
    <row r="7" spans="3:7" x14ac:dyDescent="0.25">
      <c r="C7" s="2" t="s">
        <v>10</v>
      </c>
    </row>
    <row r="8" spans="3:7" x14ac:dyDescent="0.25">
      <c r="C8" t="s">
        <v>4</v>
      </c>
    </row>
    <row r="10" spans="3:7" x14ac:dyDescent="0.25">
      <c r="C10" t="s">
        <v>5</v>
      </c>
      <c r="D10" t="s">
        <v>6</v>
      </c>
      <c r="E10" t="s">
        <v>7</v>
      </c>
      <c r="F10" t="s">
        <v>8</v>
      </c>
    </row>
    <row r="12" spans="3:7" x14ac:dyDescent="0.25">
      <c r="C12" t="s">
        <v>5</v>
      </c>
      <c r="D12" t="s">
        <v>6</v>
      </c>
      <c r="E12" t="s">
        <v>9</v>
      </c>
    </row>
    <row r="14" spans="3:7" x14ac:dyDescent="0.25">
      <c r="C14" s="2" t="s">
        <v>31</v>
      </c>
    </row>
    <row r="15" spans="3:7" ht="15.75" thickBot="1" x14ac:dyDescent="0.3"/>
    <row r="16" spans="3:7" x14ac:dyDescent="0.25">
      <c r="C16" s="22" t="s">
        <v>32</v>
      </c>
      <c r="D16" s="23"/>
      <c r="E16" s="22" t="s">
        <v>35</v>
      </c>
      <c r="F16" s="26"/>
      <c r="G16" s="23"/>
    </row>
    <row r="17" spans="3:7" ht="15.75" thickBot="1" x14ac:dyDescent="0.3">
      <c r="C17" s="24" t="s">
        <v>33</v>
      </c>
      <c r="D17" s="25"/>
      <c r="E17" s="24" t="s">
        <v>36</v>
      </c>
      <c r="F17" s="27"/>
      <c r="G17" s="25"/>
    </row>
    <row r="18" spans="3:7" ht="15.75" thickBot="1" x14ac:dyDescent="0.3">
      <c r="C18" s="28" t="s">
        <v>34</v>
      </c>
      <c r="D18" s="29"/>
      <c r="E18" s="28" t="s">
        <v>37</v>
      </c>
      <c r="F18" s="30"/>
      <c r="G18" s="2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selection activeCell="H10" sqref="H10"/>
    </sheetView>
  </sheetViews>
  <sheetFormatPr baseColWidth="10" defaultRowHeight="15" x14ac:dyDescent="0.25"/>
  <cols>
    <col min="4" max="4" width="13.28515625" bestFit="1" customWidth="1"/>
    <col min="6" max="6" width="12.85546875" bestFit="1" customWidth="1"/>
  </cols>
  <sheetData>
    <row r="1" spans="1:7" x14ac:dyDescent="0.25">
      <c r="D1" s="2" t="s">
        <v>22</v>
      </c>
    </row>
    <row r="2" spans="1:7" x14ac:dyDescent="0.25">
      <c r="A2" s="10" t="s">
        <v>23</v>
      </c>
      <c r="E2" s="10" t="s">
        <v>24</v>
      </c>
    </row>
    <row r="3" spans="1:7" x14ac:dyDescent="0.25">
      <c r="A3" t="s">
        <v>11</v>
      </c>
      <c r="D3" s="13">
        <v>1000</v>
      </c>
      <c r="E3" s="11" t="s">
        <v>12</v>
      </c>
      <c r="F3" s="12" t="s">
        <v>13</v>
      </c>
      <c r="G3" s="12" t="s">
        <v>14</v>
      </c>
    </row>
    <row r="4" spans="1:7" x14ac:dyDescent="0.25">
      <c r="A4" t="s">
        <v>15</v>
      </c>
      <c r="D4" s="13">
        <v>2000</v>
      </c>
      <c r="E4" s="17"/>
      <c r="F4" s="18"/>
      <c r="G4" s="18"/>
    </row>
    <row r="5" spans="1:7" x14ac:dyDescent="0.25">
      <c r="A5" t="s">
        <v>16</v>
      </c>
      <c r="D5" s="14">
        <v>0.24</v>
      </c>
      <c r="E5" s="16">
        <v>0.24</v>
      </c>
      <c r="F5" s="3">
        <v>1000</v>
      </c>
      <c r="G5" s="19">
        <v>0.24</v>
      </c>
    </row>
    <row r="6" spans="1:7" x14ac:dyDescent="0.25">
      <c r="A6" t="s">
        <v>17</v>
      </c>
      <c r="D6" s="13">
        <v>3000</v>
      </c>
      <c r="E6" s="16"/>
      <c r="F6" s="18" t="s">
        <v>18</v>
      </c>
      <c r="G6" s="18"/>
    </row>
    <row r="7" spans="1:7" x14ac:dyDescent="0.25">
      <c r="A7" t="s">
        <v>19</v>
      </c>
      <c r="D7" s="15">
        <v>0.4</v>
      </c>
      <c r="E7" s="16">
        <f>+D7*(1-D8)</f>
        <v>0.27999999999999997</v>
      </c>
      <c r="F7" s="18"/>
      <c r="G7" s="18"/>
    </row>
    <row r="8" spans="1:7" x14ac:dyDescent="0.25">
      <c r="A8" t="s">
        <v>20</v>
      </c>
      <c r="D8" s="15">
        <v>0.3</v>
      </c>
      <c r="E8" s="4"/>
    </row>
    <row r="9" spans="1:7" x14ac:dyDescent="0.25">
      <c r="A9" t="s">
        <v>21</v>
      </c>
      <c r="D9" s="15">
        <v>0.5</v>
      </c>
      <c r="E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workbookViewId="0">
      <selection activeCell="G17" sqref="G17"/>
    </sheetView>
  </sheetViews>
  <sheetFormatPr baseColWidth="10" defaultRowHeight="15" x14ac:dyDescent="0.25"/>
  <cols>
    <col min="4" max="4" width="12.85546875" bestFit="1" customWidth="1"/>
    <col min="6" max="6" width="12.140625" bestFit="1" customWidth="1"/>
  </cols>
  <sheetData>
    <row r="1" spans="1:8" x14ac:dyDescent="0.25">
      <c r="D1" s="2" t="s">
        <v>27</v>
      </c>
    </row>
    <row r="2" spans="1:8" x14ac:dyDescent="0.25">
      <c r="A2" s="10" t="s">
        <v>23</v>
      </c>
      <c r="B2" s="8"/>
      <c r="C2" s="8"/>
      <c r="D2" s="8"/>
      <c r="E2" s="10" t="s">
        <v>24</v>
      </c>
    </row>
    <row r="3" spans="1:8" x14ac:dyDescent="0.25">
      <c r="A3" t="s">
        <v>11</v>
      </c>
      <c r="D3" s="13">
        <v>1000</v>
      </c>
      <c r="E3" s="11" t="s">
        <v>12</v>
      </c>
      <c r="F3" s="12" t="s">
        <v>13</v>
      </c>
      <c r="G3" s="12" t="s">
        <v>14</v>
      </c>
    </row>
    <row r="4" spans="1:8" x14ac:dyDescent="0.25">
      <c r="A4" t="s">
        <v>15</v>
      </c>
      <c r="D4" s="13">
        <v>2000</v>
      </c>
      <c r="E4" s="5">
        <v>2</v>
      </c>
    </row>
    <row r="5" spans="1:8" x14ac:dyDescent="0.25">
      <c r="A5" t="s">
        <v>16</v>
      </c>
      <c r="D5" s="14">
        <v>0.24</v>
      </c>
      <c r="E5" s="4"/>
      <c r="H5" s="6"/>
    </row>
    <row r="6" spans="1:8" x14ac:dyDescent="0.25">
      <c r="A6" t="s">
        <v>17</v>
      </c>
      <c r="D6" s="13">
        <v>3000</v>
      </c>
      <c r="E6" s="16">
        <v>0.24</v>
      </c>
      <c r="F6" s="3">
        <f>$G$12</f>
        <v>666.66666666666663</v>
      </c>
      <c r="G6" s="6">
        <v>0.16000000799999997</v>
      </c>
      <c r="H6" s="6"/>
    </row>
    <row r="7" spans="1:8" x14ac:dyDescent="0.25">
      <c r="A7" t="s">
        <v>19</v>
      </c>
      <c r="D7" s="15">
        <v>0.24</v>
      </c>
      <c r="E7" s="16"/>
      <c r="F7" s="3"/>
      <c r="G7" s="6"/>
      <c r="H7" s="6"/>
    </row>
    <row r="8" spans="1:8" x14ac:dyDescent="0.25">
      <c r="A8" t="s">
        <v>20</v>
      </c>
      <c r="D8" s="15">
        <v>0.3</v>
      </c>
      <c r="E8" s="7">
        <v>0.16799999999999998</v>
      </c>
      <c r="F8" s="3">
        <f>$G$13</f>
        <v>333.33333333333337</v>
      </c>
      <c r="G8" s="6">
        <v>5.5999994399999989E-2</v>
      </c>
      <c r="H8" s="6"/>
    </row>
    <row r="9" spans="1:8" x14ac:dyDescent="0.25">
      <c r="A9" t="s">
        <v>21</v>
      </c>
      <c r="D9" s="15">
        <v>0.5</v>
      </c>
      <c r="E9" s="17"/>
      <c r="F9" s="3">
        <v>1000</v>
      </c>
      <c r="G9" s="6">
        <v>0.21600000239999995</v>
      </c>
    </row>
    <row r="10" spans="1:8" x14ac:dyDescent="0.25">
      <c r="E10" s="17"/>
      <c r="F10" s="18"/>
      <c r="G10" s="18"/>
    </row>
    <row r="11" spans="1:8" x14ac:dyDescent="0.25">
      <c r="E11" s="17" t="s">
        <v>25</v>
      </c>
      <c r="F11" s="18" t="s">
        <v>28</v>
      </c>
      <c r="G11" s="18"/>
    </row>
    <row r="12" spans="1:8" x14ac:dyDescent="0.25">
      <c r="E12" s="17" t="s">
        <v>26</v>
      </c>
      <c r="F12" t="s">
        <v>29</v>
      </c>
      <c r="G12" s="20">
        <f>1000/1.5</f>
        <v>666.66666666666663</v>
      </c>
    </row>
    <row r="13" spans="1:8" x14ac:dyDescent="0.25">
      <c r="E13" s="17"/>
      <c r="F13" s="21" t="s">
        <v>30</v>
      </c>
      <c r="G13" s="20">
        <f>+F9-G12</f>
        <v>333.33333333333337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Fórmulas básicas</vt:lpstr>
      <vt:lpstr>Ejemplo 1</vt:lpstr>
      <vt:lpstr>Ejemplo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2021-06-23T19:41:28Z</dcterms:created>
  <dcterms:modified xsi:type="dcterms:W3CDTF">2023-08-24T19:49:24Z</dcterms:modified>
</cp:coreProperties>
</file>