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8915" windowHeight="11835" activeTab="5"/>
  </bookViews>
  <sheets>
    <sheet name="Indices" sheetId="1" r:id="rId1"/>
    <sheet name="CUV" sheetId="4" r:id="rId2"/>
    <sheet name="Estr-Financ" sheetId="5" r:id="rId3"/>
    <sheet name="Solución Indices" sheetId="2" r:id="rId4"/>
    <sheet name="Solución CUV" sheetId="3" r:id="rId5"/>
    <sheet name="Solución Estr-Financ" sheetId="6" r:id="rId6"/>
  </sheets>
  <calcPr calcId="145621"/>
</workbook>
</file>

<file path=xl/calcChain.xml><?xml version="1.0" encoding="utf-8"?>
<calcChain xmlns="http://schemas.openxmlformats.org/spreadsheetml/2006/main">
  <c r="F56" i="5" l="1"/>
  <c r="D51" i="2"/>
  <c r="E65" i="1"/>
  <c r="E44" i="2"/>
  <c r="C12" i="3"/>
  <c r="D24" i="2"/>
  <c r="E7" i="2" s="1"/>
  <c r="E8" i="2" s="1"/>
  <c r="D20" i="2"/>
  <c r="D16" i="2"/>
  <c r="B12" i="2" s="1"/>
  <c r="E12" i="2" s="1"/>
  <c r="B7" i="2"/>
  <c r="B56" i="5" l="1"/>
  <c r="E10" i="2"/>
  <c r="D56" i="5" l="1"/>
</calcChain>
</file>

<file path=xl/sharedStrings.xml><?xml version="1.0" encoding="utf-8"?>
<sst xmlns="http://schemas.openxmlformats.org/spreadsheetml/2006/main" count="308" uniqueCount="198">
  <si>
    <t>INDICES</t>
  </si>
  <si>
    <t>EJERCICIO 1)</t>
  </si>
  <si>
    <t>6) Tome en cuenta los siguientes indicadores:</t>
  </si>
  <si>
    <t>Ventas</t>
  </si>
  <si>
    <t>Caja</t>
  </si>
  <si>
    <t>Pasivo corriente</t>
  </si>
  <si>
    <t>Rotación de activos</t>
  </si>
  <si>
    <t>1,2 veces</t>
  </si>
  <si>
    <t>Liquidez corriente</t>
  </si>
  <si>
    <t>Indice deuda sobre activos</t>
  </si>
  <si>
    <t>Días de cobranza</t>
  </si>
  <si>
    <t xml:space="preserve">  Sabiendo que la empresa no posee bienes de cambio y que el activo corriente está formado por</t>
  </si>
  <si>
    <t>"Caja" ; "Inversiones"  y "Cuentas a Cobrar" Se pide calcular los siguientes rubros del estado de</t>
  </si>
  <si>
    <t>situación patrimonial</t>
  </si>
  <si>
    <t>a)</t>
  </si>
  <si>
    <t xml:space="preserve">TOTAL PASIVO NO CORRIENTE </t>
  </si>
  <si>
    <t>b)</t>
  </si>
  <si>
    <t xml:space="preserve">TOTAL ACTIVO NO CORRIENTE  </t>
  </si>
  <si>
    <t>c)</t>
  </si>
  <si>
    <t>SALDO CUENTAS A COBRAR</t>
  </si>
  <si>
    <t>PUNTO DE EQUILIBRIO</t>
  </si>
  <si>
    <t>EJERCICIO 2)</t>
  </si>
  <si>
    <t>La empresa Javito S.A analiza la posibilidad de tercerizar la producción de un componente de los productos</t>
  </si>
  <si>
    <t>que fabrica en el Departamento Matrices</t>
  </si>
  <si>
    <t>Los costos fijos del Dpto. Matrices ascienden a $ 300.000,- mensuales</t>
  </si>
  <si>
    <t>y el costo variable del componente es de $ 25.-c/u. La terciarización tendrá un costo de $ 55.- por unidad</t>
  </si>
  <si>
    <t xml:space="preserve">Sabiendo que la venta es de 15.000 unidades por mes, determinar si es económica y financieramente conveniente     </t>
  </si>
  <si>
    <t>otrogar la producción a un tercero.</t>
  </si>
  <si>
    <t>Solución ejercicio 1</t>
  </si>
  <si>
    <t>Pasivo Corriente</t>
  </si>
  <si>
    <t>Inversiones</t>
  </si>
  <si>
    <t>Pasivo No Corriente</t>
  </si>
  <si>
    <t>Cuentas a Cobrar</t>
  </si>
  <si>
    <t>Pasivo Total</t>
  </si>
  <si>
    <t>Total Act. Corr</t>
  </si>
  <si>
    <t>Total Act. No Corr</t>
  </si>
  <si>
    <t>Patrimonio Neto</t>
  </si>
  <si>
    <t>Total Activo</t>
  </si>
  <si>
    <t>Total P + P.N.</t>
  </si>
  <si>
    <t>Rotación de Activos = 1,2  ==&gt;  Ventas / Activo total  =  1,2</t>
  </si>
  <si>
    <t xml:space="preserve"> ==&gt;  333,709  /  1,2   =  Activo total  =</t>
  </si>
  <si>
    <t>Deuda sobre Activos =  0,23  ==&gt;  Deuda / 278,090,83 = 0,23</t>
  </si>
  <si>
    <t xml:space="preserve"> ==&gt; Pasivo Total  =  278,090,83 * 0,23</t>
  </si>
  <si>
    <t>Si Pasivo Cte. = 33,985,- ==&gt; Pasivo no Cte =</t>
  </si>
  <si>
    <t>63,960,89 - 33,985,-   =</t>
  </si>
  <si>
    <t>Si liquidez Corriente = 3,3 ==&gt;  Act. Cte. / 33,985,-  =  3,3</t>
  </si>
  <si>
    <t xml:space="preserve"> ==&gt; 33,985,- * 3,3  = Act. Cte.</t>
  </si>
  <si>
    <t>Si Activo Cte. = 112,151,50 ==&gt; Activo no Cte =</t>
  </si>
  <si>
    <t>400,450,80 - 112,150,50 =</t>
  </si>
  <si>
    <t>días de cobranza = 35 ==&gt; 333,709,- / 365  = Créditos 1 día</t>
  </si>
  <si>
    <t>Créditos 1 día * 35 = saldo Ctas a cobrar</t>
  </si>
  <si>
    <t>Producciòn propia</t>
  </si>
  <si>
    <t>300,000  +  25x</t>
  </si>
  <si>
    <t>Producciòn terceros</t>
  </si>
  <si>
    <t xml:space="preserve"> 55  x</t>
  </si>
  <si>
    <t>Punto de equilibrio</t>
  </si>
  <si>
    <t>300,000 +  25 x   =   55 x</t>
  </si>
  <si>
    <t>300,000  =  30 x</t>
  </si>
  <si>
    <t xml:space="preserve">x  =     </t>
  </si>
  <si>
    <t>Conviene la producciòn propia</t>
  </si>
  <si>
    <t>Del análisis de balance de Textiles del Sur, se obtienen los siguientes datos: Ventas anuales : $ 739.908</t>
  </si>
  <si>
    <t>Rotación de Inventarios: 2,5 ; Pasivo Corriente $ 89.246.-  ; Período promedio de Cobranza 35 días</t>
  </si>
  <si>
    <t>Pasivo No Corriente: 18,341; Indice de endeudamiento 3,1</t>
  </si>
  <si>
    <t>El índice de Liquidez Corriente es negativo</t>
  </si>
  <si>
    <t>El saldo de Créditos por Ventas es de Aproximadamente $ 87,741,-</t>
  </si>
  <si>
    <t>El Total del Activo Corriente es de aproximadamente $ 884.427.-</t>
  </si>
  <si>
    <t>d)</t>
  </si>
  <si>
    <t>El saldo de Inventarios es de aproximadamente $ 295.963.-</t>
  </si>
  <si>
    <t>e)</t>
  </si>
  <si>
    <t>Todas las afirmaciones anteriores son verdaderas</t>
  </si>
  <si>
    <t>f)</t>
  </si>
  <si>
    <t>Todas las afirmaciones anteriores son falsas</t>
  </si>
  <si>
    <t>OPCIÓN d) CORRECTA</t>
  </si>
  <si>
    <t>Inventarios</t>
  </si>
  <si>
    <t>739.908  /  2,5</t>
  </si>
  <si>
    <t>Se sabe que el Balance de la Empresa El Indice S.A.  Presenta los siguientes datos:</t>
  </si>
  <si>
    <t>Ventas a Crédito</t>
  </si>
  <si>
    <t>Costo de Ventas</t>
  </si>
  <si>
    <t>Cuentas por cobrar</t>
  </si>
  <si>
    <t>Cuentas por pagar</t>
  </si>
  <si>
    <t>La cobranza se realiza en aproximadamente 30 días</t>
  </si>
  <si>
    <t>Los pagos se realizan en aproximadamente 57 días</t>
  </si>
  <si>
    <t>Para recuperar $ 200,- debe acortarse la cobranza en 5 días</t>
  </si>
  <si>
    <t>No puede calcularse porque faltan datos</t>
  </si>
  <si>
    <t>Todas las afirmaciones son verdaderas</t>
  </si>
  <si>
    <t>Todas las afirmaciones son falsas</t>
  </si>
  <si>
    <t>OPCIÓN b) CORRECTA</t>
  </si>
  <si>
    <t>(650  /  4200) * 365  =</t>
  </si>
  <si>
    <t>EJERCICIO 3)</t>
  </si>
  <si>
    <t>EJERCICIO 4)</t>
  </si>
  <si>
    <t xml:space="preserve"> EJERCICIO 4)</t>
  </si>
  <si>
    <t>Se pronostica que un proyecto alcanza el punto de equilibrio económico  en su tercer</t>
  </si>
  <si>
    <t>año. Para ese momento las estimaciones indican que se venderán 15,000 unidades. Se calcula</t>
  </si>
  <si>
    <t>también que el cargo de amortizaciones del tercer año será de $ 150,000,- y el precio unitario</t>
  </si>
  <si>
    <t>menos el costo variable será de $ 15.-</t>
  </si>
  <si>
    <t>Las ventas totales del tercer año serán de $ 850,000,-</t>
  </si>
  <si>
    <t>El margen de seguridad económico será del 18%</t>
  </si>
  <si>
    <t>Los Costos Fijos erogables serán el tecer año $ 75,000,-</t>
  </si>
  <si>
    <t>Los Costos Fijos Totales serán el tecer año $ 170,000,-</t>
  </si>
  <si>
    <t>OPCIÓN c) CORRECTA</t>
  </si>
  <si>
    <t>PUNTO DE EQUILIBRIO =======&gt;   CF / 15  =  15,000</t>
  </si>
  <si>
    <t xml:space="preserve">                C.F.      =  225,000,-</t>
  </si>
  <si>
    <t>C.F. EROGABLES :  225,000 - 150,000  =  75,000</t>
  </si>
  <si>
    <t>también que el los costos fijos del tercer año será de $ 80,000,- y el precio unitario $48,-</t>
  </si>
  <si>
    <t>El costo variable unitario será aproximadamente $ 47,81</t>
  </si>
  <si>
    <t>Las ventas totales del tercer año serán de aproximadamente $ 850,000,-</t>
  </si>
  <si>
    <t>El punto de equilibrio financiero será de aproximadamente $ 733,000,-</t>
  </si>
  <si>
    <t>OPCIÓN a) CORRECTA</t>
  </si>
  <si>
    <t>PUNTO DE EQUILIBRIO =======&gt;   80,000 / (48 - cvu) =  15,000</t>
  </si>
  <si>
    <t xml:space="preserve">              c.v.u.     =</t>
  </si>
  <si>
    <t xml:space="preserve"> 48  -   15,000/80,000   =   47,81</t>
  </si>
  <si>
    <t>EJERCICIO 5)</t>
  </si>
  <si>
    <t>EJERCICIO 6)</t>
  </si>
  <si>
    <t xml:space="preserve">EJERCICIO 6) </t>
  </si>
  <si>
    <t>ESTRUCTURA DE FINANCIAMIENTO</t>
  </si>
  <si>
    <t>4) Una PYME local con activos por</t>
  </si>
  <si>
    <t>tiene estas alternativas de financiamiento</t>
  </si>
  <si>
    <t>a)accionistas hasta</t>
  </si>
  <si>
    <t>con rendimiento mínimo</t>
  </si>
  <si>
    <t>b) bancos hasta</t>
  </si>
  <si>
    <t>con costo de</t>
  </si>
  <si>
    <t>c)proveedores hasta</t>
  </si>
  <si>
    <t>El impuesto a las ganancias es del</t>
  </si>
  <si>
    <t>Los socios admiten un endeudamiento máximo de</t>
  </si>
  <si>
    <t>Su estructura de financiamiento óptima será la siguiente:</t>
  </si>
  <si>
    <t>a)accionistas</t>
  </si>
  <si>
    <t>proveedores</t>
  </si>
  <si>
    <t>y bancos</t>
  </si>
  <si>
    <t>b)accionistas</t>
  </si>
  <si>
    <t>c)accionistas</t>
  </si>
  <si>
    <t xml:space="preserve">d) son todas equivalentes y no incidirán sobre la rentabilidad, que sólo dependerá del </t>
  </si>
  <si>
    <t>rendimiento de las inversiones realizadas</t>
  </si>
  <si>
    <t>e) son todas verdaderas</t>
  </si>
  <si>
    <t>f)son todas falsas</t>
  </si>
  <si>
    <t>RESPUESTA</t>
  </si>
  <si>
    <t>A)</t>
  </si>
  <si>
    <t>Patrimonio Neto mínimo</t>
  </si>
  <si>
    <t>( PN + endeud. * PN = Activo)</t>
  </si>
  <si>
    <t>Fuente</t>
  </si>
  <si>
    <t>Importe</t>
  </si>
  <si>
    <t>Costo</t>
  </si>
  <si>
    <t>accionistas</t>
  </si>
  <si>
    <t>bancos</t>
  </si>
  <si>
    <t>k(o)</t>
  </si>
  <si>
    <t>k(o) = k(e) * PN/F + k(i) * P/F * (1 - t)</t>
  </si>
  <si>
    <t>d)la teoría de Modigliani-Miller sólo se aplicaría bajo la Hipótesis del Mercado Eficiente(es PYME local)</t>
  </si>
  <si>
    <t>EJERCICIO 7)</t>
  </si>
  <si>
    <t>EJERICICIO 7)</t>
  </si>
  <si>
    <t>Costo (nominal*(1-Imp.Gan) )</t>
  </si>
  <si>
    <t>)Respecto del mercado monetario:</t>
  </si>
  <si>
    <t>a)la Comisión Nacional de Valores garantiza la solvencia y rentabilidad de las inversiones</t>
  </si>
  <si>
    <t xml:space="preserve">   en el mercado de capitales</t>
  </si>
  <si>
    <t>b)el Banco Central de la República Argentina puede inducir la baja de la tasa de interés</t>
  </si>
  <si>
    <t xml:space="preserve">   aumentando los encajes legales, la tasa de redescuentos y vendiendo títulos públicos</t>
  </si>
  <si>
    <t xml:space="preserve">   en el mercado abierto</t>
  </si>
  <si>
    <t>c)el Banco Central de la República Argentina puede inducir la suba de la tasa de interés</t>
  </si>
  <si>
    <t xml:space="preserve">d) algunos de los principales activos del Banco Central de la República Argentina son </t>
  </si>
  <si>
    <t xml:space="preserve">    la Circulación Monetaria y los Depósitos de Entidades</t>
  </si>
  <si>
    <t>e) todas las afirmaciones anteriores son verdaderas</t>
  </si>
  <si>
    <t>f) todas las afirmaciones anteriores son falsas</t>
  </si>
  <si>
    <t>RESPUESTA:  (C)</t>
  </si>
  <si>
    <t>EJERCICIO 8)</t>
  </si>
  <si>
    <t>conceptual</t>
  </si>
  <si>
    <t>) Una firma emprende una inversión agropecuaria en la Provincia de Santa Fe por US$</t>
  </si>
  <si>
    <t>32 millones, para producir bienes con destino al mercado internacional, fomentando</t>
  </si>
  <si>
    <t xml:space="preserve">el desarrollo de la economía nacional. Señale a qué entidades podría intentar requerir </t>
  </si>
  <si>
    <t>parte del financiamiento, fundándose en su objeto por su norma de creación.</t>
  </si>
  <si>
    <t>a) el Banco Central de la República Argentina</t>
  </si>
  <si>
    <t>b) el Banco de la Nación Argentina</t>
  </si>
  <si>
    <t>c) la Comisión Nacional de Valores</t>
  </si>
  <si>
    <t>d) el Banco Internacional de Reconstrucción y Fomento</t>
  </si>
  <si>
    <t>e) todas ellas</t>
  </si>
  <si>
    <t>f)  ninguna de ellas</t>
  </si>
  <si>
    <t>RESPUESTA:</t>
  </si>
  <si>
    <t>EJERCICO 9)</t>
  </si>
  <si>
    <t>EJERCICIO 9)</t>
  </si>
  <si>
    <t>) Una empresa debe financiar un proyecto por</t>
  </si>
  <si>
    <t>Tiene estas alternativas de financiamiento</t>
  </si>
  <si>
    <t>a)emitir acciones ordinarias por</t>
  </si>
  <si>
    <t xml:space="preserve">b)emitir obligaciones negociables: </t>
  </si>
  <si>
    <t>c)tomar crédito bancario por</t>
  </si>
  <si>
    <t>En la negociación primaria, las acciones se colocarían a la par, estimándose que</t>
  </si>
  <si>
    <t>duplicará ese valor en la negociación secundaria. En cambio, se estima que el valor</t>
  </si>
  <si>
    <t xml:space="preserve">en la negociación secundaria de las ON nunca alcanzaría una prima superior al 40%. </t>
  </si>
  <si>
    <t>a)acciones</t>
  </si>
  <si>
    <t>O.N.</t>
  </si>
  <si>
    <t>b)acciones</t>
  </si>
  <si>
    <t>c)acciones</t>
  </si>
  <si>
    <t xml:space="preserve">d) si ésta fuera una PYME nacional, entonces todas serían equivalentes;su rentabilidad </t>
  </si>
  <si>
    <t>sólo depende del rendimiento de sus inversiones, según sostienen Modigliani-MIller</t>
  </si>
  <si>
    <t>En general: La negociación secundaria no incide en el flujo de fondos de la firma.</t>
  </si>
  <si>
    <t>EJERCICIO 10)</t>
  </si>
  <si>
    <t>B)</t>
  </si>
  <si>
    <t>d)la teoría de Modigliani-Miller sólo se aplicaría bajo la Hipótesis del Mercado Eficiente</t>
  </si>
  <si>
    <t xml:space="preserve">   (en este caso se trata de una PYME local)</t>
  </si>
  <si>
    <t>EJERCICIO 11)</t>
  </si>
  <si>
    <t>Una PYME local con activos por</t>
  </si>
  <si>
    <t xml:space="preserve">REPASO CLASE ESTRUCTURA CORPORATIVA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</si>
</sst>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0">
    <numFmt numFmtId="41" formatCode="_-* #,##0\ _€_-;\-* #,##0\ _€_-;_-* &quot;-&quot;\ _€_-;_-@_-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[$$-2C0A]\ #,##0.00;[$$-2C0A]\ \-#,##0.00"/>
    <numFmt numFmtId="165" formatCode="[$$-2C0A]\ #,##0.00"/>
    <numFmt numFmtId="166" formatCode="#,##0.00\ [$USS]"/>
    <numFmt numFmtId="167" formatCode="[$$-1009]#,##0.00"/>
    <numFmt numFmtId="168" formatCode="0.0"/>
    <numFmt numFmtId="169" formatCode="[$$-80A]#,##0.0"/>
    <numFmt numFmtId="170" formatCode="[$$-2C0A]\ 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</font>
    <font>
      <b/>
      <u/>
      <sz val="10"/>
      <color indexed="17"/>
      <name val="Arial"/>
      <family val="2"/>
    </font>
    <font>
      <sz val="10"/>
      <color indexed="17"/>
      <name val="Arial"/>
    </font>
    <font>
      <sz val="10"/>
      <color indexed="17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6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8">
    <xf numFmtId="0" fontId="0" fillId="0" borderId="0" xfId="0"/>
    <xf numFmtId="0" fontId="4" fillId="0" borderId="0" xfId="0" applyFont="1"/>
    <xf numFmtId="0" fontId="0" fillId="0" borderId="0" xfId="0" applyFill="1"/>
    <xf numFmtId="164" fontId="0" fillId="0" borderId="0" xfId="3" applyNumberFormat="1" applyFont="1" applyFill="1"/>
    <xf numFmtId="0" fontId="0" fillId="0" borderId="0" xfId="0" applyFill="1" applyAlignment="1">
      <alignment horizontal="center"/>
    </xf>
    <xf numFmtId="49" fontId="0" fillId="0" borderId="0" xfId="1" applyNumberFormat="1" applyFont="1" applyFill="1" applyAlignment="1">
      <alignment horizontal="center"/>
    </xf>
    <xf numFmtId="49" fontId="0" fillId="0" borderId="0" xfId="3" applyNumberFormat="1" applyFont="1" applyFill="1" applyAlignment="1">
      <alignment horizontal="center"/>
    </xf>
    <xf numFmtId="0" fontId="5" fillId="0" borderId="0" xfId="0" applyFont="1" applyFill="1"/>
    <xf numFmtId="0" fontId="0" fillId="0" borderId="0" xfId="0" applyAlignment="1">
      <alignment horizontal="center"/>
    </xf>
    <xf numFmtId="165" fontId="0" fillId="0" borderId="0" xfId="0" applyNumberFormat="1"/>
    <xf numFmtId="165" fontId="0" fillId="2" borderId="0" xfId="0" applyNumberFormat="1" applyFill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5" fontId="0" fillId="6" borderId="0" xfId="0" applyNumberFormat="1" applyFill="1"/>
    <xf numFmtId="165" fontId="0" fillId="7" borderId="0" xfId="0" applyNumberFormat="1" applyFill="1"/>
    <xf numFmtId="0" fontId="5" fillId="0" borderId="0" xfId="0" applyFont="1"/>
    <xf numFmtId="165" fontId="5" fillId="0" borderId="0" xfId="0" applyNumberFormat="1" applyFont="1"/>
    <xf numFmtId="165" fontId="0" fillId="7" borderId="1" xfId="0" applyNumberFormat="1" applyFill="1" applyBorder="1"/>
    <xf numFmtId="165" fontId="0" fillId="4" borderId="1" xfId="0" applyNumberFormat="1" applyFill="1" applyBorder="1"/>
    <xf numFmtId="165" fontId="0" fillId="2" borderId="1" xfId="0" applyNumberFormat="1" applyFill="1" applyBorder="1"/>
    <xf numFmtId="165" fontId="0" fillId="5" borderId="1" xfId="0" applyNumberFormat="1" applyFill="1" applyBorder="1"/>
    <xf numFmtId="165" fontId="0" fillId="6" borderId="1" xfId="0" applyNumberFormat="1" applyFill="1" applyBorder="1"/>
    <xf numFmtId="165" fontId="0" fillId="3" borderId="1" xfId="0" applyNumberFormat="1" applyFill="1" applyBorder="1"/>
    <xf numFmtId="0" fontId="5" fillId="0" borderId="0" xfId="0" applyFont="1" applyAlignment="1">
      <alignment horizontal="center"/>
    </xf>
    <xf numFmtId="41" fontId="5" fillId="0" borderId="0" xfId="2" applyFont="1"/>
    <xf numFmtId="0" fontId="4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43" fontId="8" fillId="0" borderId="0" xfId="1" applyFont="1"/>
    <xf numFmtId="44" fontId="0" fillId="0" borderId="0" xfId="3" applyFont="1"/>
    <xf numFmtId="2" fontId="8" fillId="0" borderId="0" xfId="0" applyNumberFormat="1" applyFont="1"/>
    <xf numFmtId="0" fontId="2" fillId="0" borderId="0" xfId="0" applyFont="1"/>
    <xf numFmtId="166" fontId="0" fillId="0" borderId="0" xfId="0" applyNumberFormat="1"/>
    <xf numFmtId="166" fontId="0" fillId="0" borderId="0" xfId="3" applyNumberFormat="1" applyFont="1"/>
    <xf numFmtId="0" fontId="0" fillId="0" borderId="0" xfId="0" applyBorder="1"/>
    <xf numFmtId="0" fontId="9" fillId="0" borderId="0" xfId="0" applyFont="1"/>
    <xf numFmtId="167" fontId="0" fillId="0" borderId="0" xfId="0" applyNumberFormat="1"/>
    <xf numFmtId="9" fontId="0" fillId="0" borderId="0" xfId="0" applyNumberFormat="1" applyAlignment="1">
      <alignment horizontal="left"/>
    </xf>
    <xf numFmtId="0" fontId="10" fillId="0" borderId="0" xfId="0" applyFont="1" applyAlignment="1">
      <alignment horizontal="justify"/>
    </xf>
    <xf numFmtId="9" fontId="0" fillId="0" borderId="0" xfId="0" applyNumberFormat="1"/>
    <xf numFmtId="2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2" fontId="0" fillId="0" borderId="0" xfId="0" applyNumberFormat="1"/>
    <xf numFmtId="0" fontId="3" fillId="0" borderId="2" xfId="0" applyFont="1" applyBorder="1"/>
    <xf numFmtId="0" fontId="0" fillId="0" borderId="2" xfId="0" applyBorder="1"/>
    <xf numFmtId="10" fontId="0" fillId="0" borderId="2" xfId="0" applyNumberFormat="1" applyBorder="1"/>
    <xf numFmtId="2" fontId="0" fillId="0" borderId="2" xfId="0" applyNumberFormat="1" applyBorder="1"/>
    <xf numFmtId="167" fontId="0" fillId="0" borderId="2" xfId="0" applyNumberFormat="1" applyBorder="1"/>
    <xf numFmtId="0" fontId="0" fillId="0" borderId="3" xfId="0" applyFill="1" applyBorder="1"/>
    <xf numFmtId="168" fontId="4" fillId="0" borderId="0" xfId="0" applyNumberFormat="1" applyFont="1"/>
    <xf numFmtId="169" fontId="4" fillId="0" borderId="0" xfId="0" applyNumberFormat="1" applyFont="1"/>
    <xf numFmtId="168" fontId="0" fillId="0" borderId="0" xfId="0" applyNumberFormat="1"/>
    <xf numFmtId="0" fontId="11" fillId="0" borderId="0" xfId="0" applyFont="1"/>
    <xf numFmtId="169" fontId="3" fillId="0" borderId="0" xfId="0" applyNumberFormat="1" applyFont="1" applyBorder="1"/>
    <xf numFmtId="168" fontId="0" fillId="0" borderId="0" xfId="0" applyNumberFormat="1" applyBorder="1"/>
    <xf numFmtId="168" fontId="4" fillId="0" borderId="0" xfId="0" applyNumberFormat="1" applyFont="1" applyBorder="1"/>
    <xf numFmtId="168" fontId="5" fillId="0" borderId="0" xfId="0" applyNumberFormat="1" applyFont="1"/>
    <xf numFmtId="0" fontId="0" fillId="0" borderId="0" xfId="0" applyFont="1"/>
    <xf numFmtId="168" fontId="2" fillId="0" borderId="0" xfId="0" applyNumberFormat="1" applyFont="1"/>
    <xf numFmtId="0" fontId="10" fillId="0" borderId="0" xfId="0" applyFont="1"/>
    <xf numFmtId="167" fontId="12" fillId="0" borderId="0" xfId="0" applyNumberFormat="1" applyFont="1"/>
    <xf numFmtId="170" fontId="0" fillId="0" borderId="0" xfId="0" applyNumberFormat="1"/>
    <xf numFmtId="10" fontId="0" fillId="0" borderId="0" xfId="0" applyNumberFormat="1"/>
    <xf numFmtId="10" fontId="0" fillId="0" borderId="4" xfId="4" applyNumberFormat="1" applyFont="1" applyBorder="1"/>
    <xf numFmtId="0" fontId="0" fillId="0" borderId="5" xfId="0" applyBorder="1"/>
    <xf numFmtId="0" fontId="0" fillId="0" borderId="6" xfId="0" applyBorder="1"/>
    <xf numFmtId="10" fontId="0" fillId="0" borderId="7" xfId="4" applyNumberFormat="1" applyFont="1" applyBorder="1"/>
    <xf numFmtId="0" fontId="0" fillId="0" borderId="8" xfId="0" applyBorder="1"/>
    <xf numFmtId="0" fontId="0" fillId="0" borderId="9" xfId="0" applyBorder="1"/>
    <xf numFmtId="10" fontId="0" fillId="0" borderId="10" xfId="4" applyNumberFormat="1" applyFont="1" applyBorder="1"/>
    <xf numFmtId="0" fontId="0" fillId="0" borderId="10" xfId="0" applyBorder="1"/>
    <xf numFmtId="0" fontId="0" fillId="0" borderId="11" xfId="0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0" fontId="5" fillId="0" borderId="0" xfId="4" applyNumberFormat="1" applyFont="1"/>
    <xf numFmtId="10" fontId="0" fillId="0" borderId="0" xfId="4" applyNumberFormat="1" applyFont="1"/>
    <xf numFmtId="9" fontId="0" fillId="0" borderId="0" xfId="4" applyNumberFormat="1" applyFont="1" applyAlignment="1">
      <alignment horizontal="left"/>
    </xf>
  </cellXfs>
  <cellStyles count="5">
    <cellStyle name="Millares" xfId="1" builtinId="3"/>
    <cellStyle name="Millares [0]" xfId="2" builtinId="6"/>
    <cellStyle name="Moneda" xfId="3" builtinId="4"/>
    <cellStyle name="Normal" xfId="0" builtinId="0"/>
    <cellStyle name="Porcentaje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workbookViewId="0">
      <selection activeCell="H2" sqref="H2"/>
    </sheetView>
  </sheetViews>
  <sheetFormatPr baseColWidth="10" defaultRowHeight="15" x14ac:dyDescent="0.25"/>
  <cols>
    <col min="4" max="4" width="11.85546875" bestFit="1" customWidth="1"/>
  </cols>
  <sheetData>
    <row r="1" spans="1:7" x14ac:dyDescent="0.25">
      <c r="B1" t="s">
        <v>197</v>
      </c>
    </row>
    <row r="3" spans="1:7" x14ac:dyDescent="0.25">
      <c r="B3" s="73" t="s">
        <v>0</v>
      </c>
      <c r="C3" s="73"/>
      <c r="D3" s="73"/>
      <c r="E3" s="73"/>
    </row>
    <row r="4" spans="1:7" x14ac:dyDescent="0.25">
      <c r="A4" s="1" t="s">
        <v>1</v>
      </c>
    </row>
    <row r="6" spans="1:7" x14ac:dyDescent="0.25">
      <c r="A6" s="2" t="s">
        <v>2</v>
      </c>
      <c r="B6" s="2"/>
      <c r="C6" s="2"/>
      <c r="D6" s="2"/>
      <c r="E6" s="2"/>
      <c r="F6" s="2"/>
      <c r="G6" s="2"/>
    </row>
    <row r="7" spans="1:7" x14ac:dyDescent="0.25">
      <c r="A7" s="2"/>
      <c r="B7" s="2" t="s">
        <v>3</v>
      </c>
      <c r="C7" s="2"/>
      <c r="D7" s="2"/>
      <c r="E7" s="3">
        <v>333709</v>
      </c>
      <c r="F7" s="2"/>
      <c r="G7" s="2"/>
    </row>
    <row r="8" spans="1:7" x14ac:dyDescent="0.25">
      <c r="A8" s="2"/>
      <c r="B8" s="2" t="s">
        <v>4</v>
      </c>
      <c r="C8" s="2"/>
      <c r="D8" s="2"/>
      <c r="E8" s="3">
        <v>5000</v>
      </c>
      <c r="F8" s="2"/>
      <c r="G8" s="2"/>
    </row>
    <row r="9" spans="1:7" x14ac:dyDescent="0.25">
      <c r="A9" s="2"/>
      <c r="B9" s="2" t="s">
        <v>5</v>
      </c>
      <c r="C9" s="2"/>
      <c r="D9" s="2"/>
      <c r="E9" s="3">
        <v>33985</v>
      </c>
      <c r="F9" s="2"/>
      <c r="G9" s="2"/>
    </row>
    <row r="10" spans="1:7" x14ac:dyDescent="0.25">
      <c r="A10" s="2"/>
      <c r="B10" s="2" t="s">
        <v>6</v>
      </c>
      <c r="C10" s="2"/>
      <c r="D10" s="2"/>
      <c r="E10" s="4" t="s">
        <v>7</v>
      </c>
      <c r="F10" s="2"/>
      <c r="G10" s="2"/>
    </row>
    <row r="11" spans="1:7" x14ac:dyDescent="0.25">
      <c r="A11" s="2"/>
      <c r="B11" s="2" t="s">
        <v>8</v>
      </c>
      <c r="C11" s="2"/>
      <c r="D11" s="2"/>
      <c r="E11" s="5">
        <v>3.3</v>
      </c>
      <c r="F11" s="2"/>
      <c r="G11" s="2"/>
    </row>
    <row r="12" spans="1:7" x14ac:dyDescent="0.25">
      <c r="A12" s="2"/>
      <c r="B12" s="2" t="s">
        <v>9</v>
      </c>
      <c r="C12" s="2"/>
      <c r="D12" s="2"/>
      <c r="E12" s="6">
        <v>0.23</v>
      </c>
      <c r="F12" s="2"/>
      <c r="G12" s="2"/>
    </row>
    <row r="13" spans="1:7" x14ac:dyDescent="0.25">
      <c r="A13" s="2"/>
      <c r="B13" s="2" t="s">
        <v>10</v>
      </c>
      <c r="C13" s="2"/>
      <c r="D13" s="2"/>
      <c r="E13" s="5">
        <v>35</v>
      </c>
      <c r="F13" s="2"/>
      <c r="G13" s="2"/>
    </row>
    <row r="14" spans="1:7" x14ac:dyDescent="0.25">
      <c r="A14" s="2" t="s">
        <v>11</v>
      </c>
      <c r="B14" s="2"/>
      <c r="C14" s="2"/>
      <c r="D14" s="2"/>
      <c r="E14" s="2"/>
      <c r="F14" s="2"/>
      <c r="G14" s="2"/>
    </row>
    <row r="15" spans="1:7" x14ac:dyDescent="0.25">
      <c r="A15" s="2" t="s">
        <v>12</v>
      </c>
      <c r="B15" s="2"/>
      <c r="C15" s="2"/>
      <c r="D15" s="2"/>
      <c r="E15" s="2"/>
      <c r="F15" s="2"/>
      <c r="G15" s="2"/>
    </row>
    <row r="16" spans="1:7" x14ac:dyDescent="0.25">
      <c r="A16" s="2" t="s">
        <v>13</v>
      </c>
      <c r="B16" s="2"/>
      <c r="C16" s="2"/>
      <c r="D16" s="2"/>
      <c r="E16" s="2"/>
      <c r="F16" s="2"/>
      <c r="G16" s="2"/>
    </row>
    <row r="17" spans="1:7" x14ac:dyDescent="0.25">
      <c r="B17" s="4" t="s">
        <v>14</v>
      </c>
      <c r="C17" s="7" t="s">
        <v>15</v>
      </c>
      <c r="D17" s="2"/>
      <c r="E17" s="2"/>
      <c r="F17" s="2"/>
      <c r="G17" s="2"/>
    </row>
    <row r="18" spans="1:7" x14ac:dyDescent="0.25">
      <c r="B18" s="8" t="s">
        <v>16</v>
      </c>
      <c r="C18" s="7" t="s">
        <v>17</v>
      </c>
    </row>
    <row r="19" spans="1:7" x14ac:dyDescent="0.25">
      <c r="B19" s="8" t="s">
        <v>18</v>
      </c>
      <c r="C19" s="7" t="s">
        <v>19</v>
      </c>
    </row>
    <row r="21" spans="1:7" x14ac:dyDescent="0.25">
      <c r="A21" s="74"/>
      <c r="B21" s="74"/>
      <c r="C21" s="74"/>
      <c r="D21" s="74"/>
      <c r="E21" s="74"/>
      <c r="F21" s="74"/>
      <c r="G21" s="74"/>
    </row>
    <row r="22" spans="1:7" x14ac:dyDescent="0.25">
      <c r="A22" s="32" t="s">
        <v>88</v>
      </c>
    </row>
    <row r="23" spans="1:7" x14ac:dyDescent="0.25">
      <c r="A23" t="s">
        <v>60</v>
      </c>
    </row>
    <row r="24" spans="1:7" x14ac:dyDescent="0.25">
      <c r="A24" t="s">
        <v>61</v>
      </c>
    </row>
    <row r="25" spans="1:7" x14ac:dyDescent="0.25">
      <c r="A25" t="s">
        <v>62</v>
      </c>
    </row>
    <row r="27" spans="1:7" x14ac:dyDescent="0.25">
      <c r="A27" s="26" t="s">
        <v>14</v>
      </c>
      <c r="B27" t="s">
        <v>63</v>
      </c>
    </row>
    <row r="28" spans="1:7" x14ac:dyDescent="0.25">
      <c r="A28" s="26" t="s">
        <v>16</v>
      </c>
      <c r="B28" t="s">
        <v>64</v>
      </c>
    </row>
    <row r="29" spans="1:7" x14ac:dyDescent="0.25">
      <c r="A29" s="26" t="s">
        <v>18</v>
      </c>
      <c r="B29" t="s">
        <v>65</v>
      </c>
    </row>
    <row r="30" spans="1:7" x14ac:dyDescent="0.25">
      <c r="A30" s="26" t="s">
        <v>66</v>
      </c>
      <c r="B30" t="s">
        <v>67</v>
      </c>
    </row>
    <row r="31" spans="1:7" x14ac:dyDescent="0.25">
      <c r="A31" s="26" t="s">
        <v>68</v>
      </c>
      <c r="B31" t="s">
        <v>69</v>
      </c>
    </row>
    <row r="32" spans="1:7" x14ac:dyDescent="0.25">
      <c r="A32" s="26" t="s">
        <v>70</v>
      </c>
      <c r="B32" t="s">
        <v>71</v>
      </c>
    </row>
    <row r="35" spans="1:4" x14ac:dyDescent="0.25">
      <c r="A35" s="26" t="s">
        <v>90</v>
      </c>
    </row>
    <row r="36" spans="1:4" x14ac:dyDescent="0.25">
      <c r="A36" t="s">
        <v>75</v>
      </c>
      <c r="D36" s="33"/>
    </row>
    <row r="37" spans="1:4" x14ac:dyDescent="0.25">
      <c r="A37" t="s">
        <v>76</v>
      </c>
      <c r="D37" s="34">
        <v>6595</v>
      </c>
    </row>
    <row r="38" spans="1:4" x14ac:dyDescent="0.25">
      <c r="A38" t="s">
        <v>77</v>
      </c>
      <c r="D38" s="34">
        <v>4200</v>
      </c>
    </row>
    <row r="39" spans="1:4" x14ac:dyDescent="0.25">
      <c r="A39" t="s">
        <v>78</v>
      </c>
      <c r="D39" s="34">
        <v>900</v>
      </c>
    </row>
    <row r="40" spans="1:4" x14ac:dyDescent="0.25">
      <c r="A40" t="s">
        <v>79</v>
      </c>
      <c r="D40" s="34">
        <v>650</v>
      </c>
    </row>
    <row r="42" spans="1:4" x14ac:dyDescent="0.25">
      <c r="A42" s="26" t="s">
        <v>14</v>
      </c>
      <c r="B42" t="s">
        <v>80</v>
      </c>
    </row>
    <row r="43" spans="1:4" x14ac:dyDescent="0.25">
      <c r="A43" s="26" t="s">
        <v>16</v>
      </c>
      <c r="B43" t="s">
        <v>81</v>
      </c>
    </row>
    <row r="44" spans="1:4" x14ac:dyDescent="0.25">
      <c r="A44" s="26" t="s">
        <v>18</v>
      </c>
      <c r="B44" t="s">
        <v>82</v>
      </c>
    </row>
    <row r="45" spans="1:4" x14ac:dyDescent="0.25">
      <c r="A45" s="26" t="s">
        <v>66</v>
      </c>
      <c r="B45" t="s">
        <v>83</v>
      </c>
    </row>
    <row r="46" spans="1:4" x14ac:dyDescent="0.25">
      <c r="A46" s="26" t="s">
        <v>68</v>
      </c>
      <c r="B46" t="s">
        <v>84</v>
      </c>
    </row>
    <row r="47" spans="1:4" x14ac:dyDescent="0.25">
      <c r="A47" s="26" t="s">
        <v>70</v>
      </c>
      <c r="B47" t="s">
        <v>85</v>
      </c>
    </row>
    <row r="51" spans="1:4" x14ac:dyDescent="0.25">
      <c r="D51" s="30"/>
    </row>
    <row r="52" spans="1:4" x14ac:dyDescent="0.25">
      <c r="D52" s="30"/>
    </row>
    <row r="53" spans="1:4" x14ac:dyDescent="0.25">
      <c r="D53" s="30"/>
    </row>
    <row r="54" spans="1:4" x14ac:dyDescent="0.25">
      <c r="D54" s="30"/>
    </row>
    <row r="56" spans="1:4" x14ac:dyDescent="0.25">
      <c r="A56" s="26"/>
    </row>
    <row r="57" spans="1:4" x14ac:dyDescent="0.25">
      <c r="A57" s="26"/>
    </row>
    <row r="58" spans="1:4" x14ac:dyDescent="0.25">
      <c r="A58" s="26"/>
    </row>
    <row r="59" spans="1:4" x14ac:dyDescent="0.25">
      <c r="A59" s="26"/>
    </row>
    <row r="60" spans="1:4" x14ac:dyDescent="0.25">
      <c r="A60" s="26"/>
    </row>
    <row r="61" spans="1:4" x14ac:dyDescent="0.25">
      <c r="A61" s="26"/>
    </row>
    <row r="63" spans="1:4" x14ac:dyDescent="0.25">
      <c r="B63" s="27" t="s">
        <v>86</v>
      </c>
    </row>
    <row r="65" spans="3:6" x14ac:dyDescent="0.25">
      <c r="C65" s="28" t="s">
        <v>87</v>
      </c>
      <c r="D65" s="28"/>
      <c r="E65" s="31">
        <f>(650/4200)*365</f>
        <v>56.488095238095241</v>
      </c>
      <c r="F65" s="29"/>
    </row>
  </sheetData>
  <mergeCells count="2">
    <mergeCell ref="B3:E3"/>
    <mergeCell ref="A21:G2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K26" sqref="K26"/>
    </sheetView>
  </sheetViews>
  <sheetFormatPr baseColWidth="10" defaultRowHeight="15" x14ac:dyDescent="0.25"/>
  <sheetData>
    <row r="1" spans="1:5" x14ac:dyDescent="0.25">
      <c r="B1" s="73" t="s">
        <v>20</v>
      </c>
      <c r="C1" s="73"/>
      <c r="D1" s="73"/>
      <c r="E1" s="73"/>
    </row>
    <row r="2" spans="1:5" x14ac:dyDescent="0.25">
      <c r="A2" s="1" t="s">
        <v>21</v>
      </c>
    </row>
    <row r="4" spans="1:5" x14ac:dyDescent="0.25">
      <c r="A4" t="s">
        <v>22</v>
      </c>
    </row>
    <row r="5" spans="1:5" x14ac:dyDescent="0.25">
      <c r="A5" t="s">
        <v>23</v>
      </c>
      <c r="D5" t="s">
        <v>24</v>
      </c>
    </row>
    <row r="6" spans="1:5" x14ac:dyDescent="0.25">
      <c r="A6" t="s">
        <v>25</v>
      </c>
    </row>
    <row r="7" spans="1:5" x14ac:dyDescent="0.25">
      <c r="A7" t="s">
        <v>26</v>
      </c>
    </row>
    <row r="8" spans="1:5" x14ac:dyDescent="0.25">
      <c r="A8" t="s">
        <v>27</v>
      </c>
    </row>
    <row r="11" spans="1:5" x14ac:dyDescent="0.25">
      <c r="A11" s="32" t="s">
        <v>111</v>
      </c>
    </row>
    <row r="12" spans="1:5" x14ac:dyDescent="0.25">
      <c r="B12" t="s">
        <v>91</v>
      </c>
    </row>
    <row r="13" spans="1:5" x14ac:dyDescent="0.25">
      <c r="A13" t="s">
        <v>92</v>
      </c>
    </row>
    <row r="14" spans="1:5" x14ac:dyDescent="0.25">
      <c r="A14" t="s">
        <v>93</v>
      </c>
    </row>
    <row r="15" spans="1:5" x14ac:dyDescent="0.25">
      <c r="A15" t="s">
        <v>94</v>
      </c>
    </row>
    <row r="17" spans="1:7" x14ac:dyDescent="0.25">
      <c r="A17" s="26" t="s">
        <v>14</v>
      </c>
      <c r="B17" t="s">
        <v>95</v>
      </c>
      <c r="G17" s="35"/>
    </row>
    <row r="18" spans="1:7" x14ac:dyDescent="0.25">
      <c r="A18" s="26" t="s">
        <v>16</v>
      </c>
      <c r="B18" t="s">
        <v>96</v>
      </c>
      <c r="G18" s="35"/>
    </row>
    <row r="19" spans="1:7" x14ac:dyDescent="0.25">
      <c r="A19" s="26" t="s">
        <v>18</v>
      </c>
      <c r="B19" t="s">
        <v>97</v>
      </c>
      <c r="G19" s="35"/>
    </row>
    <row r="20" spans="1:7" x14ac:dyDescent="0.25">
      <c r="A20" s="26" t="s">
        <v>66</v>
      </c>
      <c r="B20" t="s">
        <v>98</v>
      </c>
      <c r="G20" s="35"/>
    </row>
    <row r="21" spans="1:7" x14ac:dyDescent="0.25">
      <c r="A21" s="26" t="s">
        <v>68</v>
      </c>
      <c r="B21" t="s">
        <v>69</v>
      </c>
      <c r="G21" s="35"/>
    </row>
    <row r="22" spans="1:7" x14ac:dyDescent="0.25">
      <c r="A22" s="26" t="s">
        <v>70</v>
      </c>
      <c r="B22" t="s">
        <v>71</v>
      </c>
      <c r="G22" s="35"/>
    </row>
    <row r="23" spans="1:7" x14ac:dyDescent="0.25">
      <c r="G23" s="35"/>
    </row>
    <row r="24" spans="1:7" x14ac:dyDescent="0.25">
      <c r="A24" s="26" t="s">
        <v>112</v>
      </c>
    </row>
    <row r="25" spans="1:7" x14ac:dyDescent="0.25">
      <c r="B25" t="s">
        <v>91</v>
      </c>
    </row>
    <row r="26" spans="1:7" x14ac:dyDescent="0.25">
      <c r="A26" t="s">
        <v>92</v>
      </c>
    </row>
    <row r="27" spans="1:7" x14ac:dyDescent="0.25">
      <c r="A27" t="s">
        <v>103</v>
      </c>
    </row>
    <row r="29" spans="1:7" x14ac:dyDescent="0.25">
      <c r="A29" s="26" t="s">
        <v>14</v>
      </c>
      <c r="B29" t="s">
        <v>104</v>
      </c>
    </row>
    <row r="30" spans="1:7" x14ac:dyDescent="0.25">
      <c r="A30" s="26" t="s">
        <v>16</v>
      </c>
      <c r="B30" t="s">
        <v>96</v>
      </c>
    </row>
    <row r="31" spans="1:7" x14ac:dyDescent="0.25">
      <c r="A31" s="26" t="s">
        <v>18</v>
      </c>
      <c r="B31" t="s">
        <v>105</v>
      </c>
    </row>
    <row r="32" spans="1:7" x14ac:dyDescent="0.25">
      <c r="A32" s="26" t="s">
        <v>66</v>
      </c>
      <c r="B32" t="s">
        <v>106</v>
      </c>
    </row>
    <row r="33" spans="1:7" x14ac:dyDescent="0.25">
      <c r="A33" s="26" t="s">
        <v>68</v>
      </c>
      <c r="B33" t="s">
        <v>69</v>
      </c>
    </row>
    <row r="34" spans="1:7" x14ac:dyDescent="0.25">
      <c r="A34" s="26" t="s">
        <v>70</v>
      </c>
      <c r="B34" t="s">
        <v>71</v>
      </c>
    </row>
    <row r="36" spans="1:7" x14ac:dyDescent="0.25">
      <c r="B36" s="27"/>
    </row>
    <row r="38" spans="1:7" x14ac:dyDescent="0.25">
      <c r="B38" s="36"/>
    </row>
    <row r="40" spans="1:7" x14ac:dyDescent="0.25">
      <c r="C40" s="36"/>
      <c r="D40" s="36"/>
      <c r="E40" s="36"/>
      <c r="F40" s="36"/>
      <c r="G40" s="36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Views>
    <sheetView workbookViewId="0">
      <selection activeCell="I76" sqref="I76"/>
    </sheetView>
  </sheetViews>
  <sheetFormatPr baseColWidth="10" defaultRowHeight="15" x14ac:dyDescent="0.25"/>
  <cols>
    <col min="3" max="4" width="12.28515625" bestFit="1" customWidth="1"/>
  </cols>
  <sheetData>
    <row r="1" spans="1:6" x14ac:dyDescent="0.25">
      <c r="B1" s="32" t="s">
        <v>114</v>
      </c>
    </row>
    <row r="2" spans="1:6" x14ac:dyDescent="0.25">
      <c r="A2" s="32" t="s">
        <v>146</v>
      </c>
    </row>
    <row r="4" spans="1:6" x14ac:dyDescent="0.25">
      <c r="A4" t="s">
        <v>115</v>
      </c>
      <c r="D4" s="37">
        <v>500000</v>
      </c>
      <c r="E4" t="s">
        <v>116</v>
      </c>
    </row>
    <row r="5" spans="1:6" x14ac:dyDescent="0.25">
      <c r="A5" t="s">
        <v>117</v>
      </c>
      <c r="C5" s="37">
        <v>400000</v>
      </c>
      <c r="D5" s="37" t="s">
        <v>118</v>
      </c>
      <c r="F5" s="38">
        <v>0.25</v>
      </c>
    </row>
    <row r="6" spans="1:6" x14ac:dyDescent="0.25">
      <c r="A6" t="s">
        <v>119</v>
      </c>
      <c r="C6" s="37">
        <v>200000</v>
      </c>
      <c r="D6" s="37"/>
      <c r="E6" t="s">
        <v>120</v>
      </c>
      <c r="F6" s="38">
        <v>0.56000000000000005</v>
      </c>
    </row>
    <row r="7" spans="1:6" x14ac:dyDescent="0.25">
      <c r="A7" t="s">
        <v>121</v>
      </c>
      <c r="C7" s="37">
        <v>700000</v>
      </c>
      <c r="E7" t="s">
        <v>120</v>
      </c>
      <c r="F7" s="38">
        <v>0.25</v>
      </c>
    </row>
    <row r="8" spans="1:6" x14ac:dyDescent="0.25">
      <c r="A8" s="39"/>
      <c r="B8" t="s">
        <v>122</v>
      </c>
      <c r="E8" s="38">
        <v>0.3</v>
      </c>
      <c r="F8" s="40"/>
    </row>
    <row r="9" spans="1:6" x14ac:dyDescent="0.25">
      <c r="A9" s="39"/>
      <c r="B9" t="s">
        <v>123</v>
      </c>
      <c r="F9" s="77">
        <v>0.6</v>
      </c>
    </row>
    <row r="10" spans="1:6" x14ac:dyDescent="0.25">
      <c r="A10" t="s">
        <v>130</v>
      </c>
    </row>
    <row r="11" spans="1:6" x14ac:dyDescent="0.25">
      <c r="A11" t="s">
        <v>131</v>
      </c>
    </row>
    <row r="12" spans="1:6" x14ac:dyDescent="0.25">
      <c r="A12" t="s">
        <v>132</v>
      </c>
    </row>
    <row r="13" spans="1:6" x14ac:dyDescent="0.25">
      <c r="A13" t="s">
        <v>133</v>
      </c>
    </row>
    <row r="16" spans="1:6" x14ac:dyDescent="0.25">
      <c r="A16" s="32" t="s">
        <v>161</v>
      </c>
    </row>
    <row r="17" spans="1:6" x14ac:dyDescent="0.25">
      <c r="A17" s="16" t="s">
        <v>149</v>
      </c>
      <c r="B17" s="1"/>
      <c r="C17" s="50"/>
      <c r="D17" s="1"/>
      <c r="E17" s="51"/>
      <c r="F17" s="1"/>
    </row>
    <row r="18" spans="1:6" x14ac:dyDescent="0.25">
      <c r="A18" s="16" t="s">
        <v>150</v>
      </c>
    </row>
    <row r="19" spans="1:6" x14ac:dyDescent="0.25">
      <c r="A19" s="16" t="s">
        <v>151</v>
      </c>
    </row>
    <row r="20" spans="1:6" x14ac:dyDescent="0.25">
      <c r="A20" s="16" t="s">
        <v>152</v>
      </c>
      <c r="B20" s="52"/>
      <c r="D20" s="52"/>
      <c r="E20" s="52"/>
      <c r="F20" s="52"/>
    </row>
    <row r="21" spans="1:6" x14ac:dyDescent="0.25">
      <c r="A21" s="52" t="s">
        <v>153</v>
      </c>
      <c r="C21" s="35"/>
      <c r="D21" s="35"/>
    </row>
    <row r="22" spans="1:6" x14ac:dyDescent="0.25">
      <c r="A22" s="52" t="s">
        <v>154</v>
      </c>
      <c r="B22" s="53"/>
      <c r="C22" s="35"/>
      <c r="D22" s="54"/>
    </row>
    <row r="23" spans="1:6" x14ac:dyDescent="0.25">
      <c r="A23" s="16" t="s">
        <v>155</v>
      </c>
      <c r="B23" s="52"/>
      <c r="D23" s="52"/>
      <c r="E23" s="52"/>
      <c r="F23" s="52"/>
    </row>
    <row r="24" spans="1:6" x14ac:dyDescent="0.25">
      <c r="A24" s="52" t="s">
        <v>153</v>
      </c>
      <c r="C24" s="35"/>
      <c r="D24" s="35"/>
    </row>
    <row r="25" spans="1:6" x14ac:dyDescent="0.25">
      <c r="A25" s="52" t="s">
        <v>154</v>
      </c>
      <c r="B25" s="53"/>
      <c r="C25" s="35"/>
      <c r="D25" s="54"/>
    </row>
    <row r="26" spans="1:6" x14ac:dyDescent="0.25">
      <c r="A26" s="52" t="s">
        <v>156</v>
      </c>
      <c r="C26" s="35"/>
      <c r="D26" s="55"/>
    </row>
    <row r="27" spans="1:6" x14ac:dyDescent="0.25">
      <c r="A27" s="52" t="s">
        <v>157</v>
      </c>
      <c r="B27" s="53"/>
      <c r="C27" s="35"/>
      <c r="D27" s="56"/>
    </row>
    <row r="28" spans="1:6" x14ac:dyDescent="0.25">
      <c r="A28" s="52" t="s">
        <v>158</v>
      </c>
      <c r="C28" s="35"/>
      <c r="D28" s="35"/>
    </row>
    <row r="29" spans="1:6" x14ac:dyDescent="0.25">
      <c r="A29" s="52" t="s">
        <v>159</v>
      </c>
      <c r="C29" s="35"/>
      <c r="D29" s="35"/>
    </row>
    <row r="30" spans="1:6" x14ac:dyDescent="0.25">
      <c r="A30" s="52"/>
      <c r="C30" s="35"/>
      <c r="D30" s="35"/>
    </row>
    <row r="31" spans="1:6" x14ac:dyDescent="0.25">
      <c r="A31" s="50"/>
      <c r="C31" s="35"/>
      <c r="D31" s="35"/>
    </row>
    <row r="32" spans="1:6" x14ac:dyDescent="0.25">
      <c r="A32" s="59" t="s">
        <v>174</v>
      </c>
    </row>
    <row r="33" spans="1:6" x14ac:dyDescent="0.25">
      <c r="A33" s="52" t="s">
        <v>163</v>
      </c>
    </row>
    <row r="34" spans="1:6" x14ac:dyDescent="0.25">
      <c r="A34" s="52" t="s">
        <v>164</v>
      </c>
    </row>
    <row r="35" spans="1:6" x14ac:dyDescent="0.25">
      <c r="A35" s="52" t="s">
        <v>165</v>
      </c>
    </row>
    <row r="36" spans="1:6" x14ac:dyDescent="0.25">
      <c r="A36" s="52" t="s">
        <v>166</v>
      </c>
    </row>
    <row r="37" spans="1:6" x14ac:dyDescent="0.25">
      <c r="A37" s="52" t="s">
        <v>167</v>
      </c>
    </row>
    <row r="38" spans="1:6" x14ac:dyDescent="0.25">
      <c r="A38" s="52" t="s">
        <v>168</v>
      </c>
    </row>
    <row r="39" spans="1:6" x14ac:dyDescent="0.25">
      <c r="A39" s="52" t="s">
        <v>169</v>
      </c>
    </row>
    <row r="40" spans="1:6" x14ac:dyDescent="0.25">
      <c r="A40" s="52" t="s">
        <v>170</v>
      </c>
    </row>
    <row r="41" spans="1:6" x14ac:dyDescent="0.25">
      <c r="A41" s="52" t="s">
        <v>171</v>
      </c>
    </row>
    <row r="42" spans="1:6" x14ac:dyDescent="0.25">
      <c r="A42" s="52" t="s">
        <v>172</v>
      </c>
    </row>
    <row r="43" spans="1:6" x14ac:dyDescent="0.25">
      <c r="A43" s="52"/>
    </row>
    <row r="45" spans="1:6" x14ac:dyDescent="0.25">
      <c r="A45" s="59" t="s">
        <v>191</v>
      </c>
    </row>
    <row r="46" spans="1:6" x14ac:dyDescent="0.25">
      <c r="A46" s="60" t="s">
        <v>176</v>
      </c>
      <c r="D46" s="61">
        <v>1000000</v>
      </c>
      <c r="E46" t="s">
        <v>177</v>
      </c>
    </row>
    <row r="47" spans="1:6" x14ac:dyDescent="0.25">
      <c r="A47" s="53" t="s">
        <v>178</v>
      </c>
      <c r="C47" s="61">
        <v>1000000</v>
      </c>
      <c r="D47" s="37" t="s">
        <v>118</v>
      </c>
      <c r="F47" s="38">
        <v>0.2</v>
      </c>
    </row>
    <row r="48" spans="1:6" x14ac:dyDescent="0.25">
      <c r="A48" s="53" t="s">
        <v>179</v>
      </c>
      <c r="C48" s="61">
        <v>1000000</v>
      </c>
      <c r="D48" s="37"/>
      <c r="E48" t="s">
        <v>120</v>
      </c>
      <c r="F48" s="38">
        <v>0.12</v>
      </c>
    </row>
    <row r="49" spans="1:6" x14ac:dyDescent="0.25">
      <c r="A49" t="s">
        <v>180</v>
      </c>
      <c r="C49" s="61">
        <v>2000000</v>
      </c>
      <c r="E49" t="s">
        <v>120</v>
      </c>
      <c r="F49" s="38">
        <v>0.3</v>
      </c>
    </row>
    <row r="50" spans="1:6" x14ac:dyDescent="0.25">
      <c r="A50" s="39"/>
      <c r="B50" t="s">
        <v>122</v>
      </c>
      <c r="E50" s="38">
        <v>0.25</v>
      </c>
      <c r="F50" s="40"/>
    </row>
    <row r="51" spans="1:6" x14ac:dyDescent="0.25">
      <c r="A51" s="39"/>
      <c r="B51" t="s">
        <v>123</v>
      </c>
      <c r="F51" s="41">
        <v>0.6</v>
      </c>
    </row>
    <row r="52" spans="1:6" x14ac:dyDescent="0.25">
      <c r="B52" t="s">
        <v>124</v>
      </c>
    </row>
    <row r="53" spans="1:6" x14ac:dyDescent="0.25">
      <c r="A53" t="s">
        <v>181</v>
      </c>
    </row>
    <row r="54" spans="1:6" x14ac:dyDescent="0.25">
      <c r="A54" t="s">
        <v>182</v>
      </c>
    </row>
    <row r="55" spans="1:6" x14ac:dyDescent="0.25">
      <c r="A55" t="s">
        <v>183</v>
      </c>
    </row>
    <row r="56" spans="1:6" x14ac:dyDescent="0.25">
      <c r="A56" t="s">
        <v>184</v>
      </c>
      <c r="B56" s="42" t="e">
        <f>+#REF!/D46</f>
        <v>#REF!</v>
      </c>
      <c r="C56" t="s">
        <v>185</v>
      </c>
      <c r="D56" s="42" t="e">
        <f>+#REF!/D46</f>
        <v>#REF!</v>
      </c>
      <c r="E56" t="s">
        <v>127</v>
      </c>
      <c r="F56" s="42" t="e">
        <f>+#REF!/D46</f>
        <v>#REF!</v>
      </c>
    </row>
    <row r="57" spans="1:6" x14ac:dyDescent="0.25">
      <c r="A57" t="s">
        <v>186</v>
      </c>
      <c r="B57" s="42">
        <v>0.375</v>
      </c>
      <c r="C57" t="s">
        <v>185</v>
      </c>
      <c r="D57" s="42">
        <v>0.67500000000000004</v>
      </c>
      <c r="E57" t="s">
        <v>127</v>
      </c>
      <c r="F57" s="42">
        <v>0</v>
      </c>
    </row>
    <row r="58" spans="1:6" x14ac:dyDescent="0.25">
      <c r="A58" t="s">
        <v>187</v>
      </c>
      <c r="B58" s="42">
        <v>0.33329999999999999</v>
      </c>
      <c r="C58" t="s">
        <v>185</v>
      </c>
      <c r="D58" s="42">
        <v>0.33329999999999999</v>
      </c>
      <c r="E58" t="s">
        <v>127</v>
      </c>
      <c r="F58" s="42">
        <v>0.33339999999999997</v>
      </c>
    </row>
    <row r="59" spans="1:6" x14ac:dyDescent="0.25">
      <c r="A59" t="s">
        <v>188</v>
      </c>
    </row>
    <row r="60" spans="1:6" x14ac:dyDescent="0.25">
      <c r="A60" t="s">
        <v>189</v>
      </c>
    </row>
    <row r="61" spans="1:6" x14ac:dyDescent="0.25">
      <c r="A61" t="s">
        <v>132</v>
      </c>
    </row>
    <row r="62" spans="1:6" x14ac:dyDescent="0.25">
      <c r="A62" t="s">
        <v>133</v>
      </c>
    </row>
    <row r="66" spans="1:6" x14ac:dyDescent="0.25">
      <c r="A66" s="32" t="s">
        <v>195</v>
      </c>
    </row>
    <row r="67" spans="1:6" x14ac:dyDescent="0.25">
      <c r="A67" t="s">
        <v>196</v>
      </c>
      <c r="D67" s="62">
        <v>500000</v>
      </c>
      <c r="E67" t="s">
        <v>116</v>
      </c>
    </row>
    <row r="68" spans="1:6" x14ac:dyDescent="0.25">
      <c r="A68" t="s">
        <v>117</v>
      </c>
      <c r="C68" s="62">
        <v>400000</v>
      </c>
      <c r="D68" t="s">
        <v>118</v>
      </c>
      <c r="F68" s="63">
        <v>0.25</v>
      </c>
    </row>
    <row r="69" spans="1:6" x14ac:dyDescent="0.25">
      <c r="A69" t="s">
        <v>119</v>
      </c>
      <c r="C69" s="62">
        <v>200000</v>
      </c>
      <c r="E69" t="s">
        <v>120</v>
      </c>
      <c r="F69" s="63">
        <v>0.56000000000000005</v>
      </c>
    </row>
    <row r="70" spans="1:6" x14ac:dyDescent="0.25">
      <c r="A70" t="s">
        <v>121</v>
      </c>
      <c r="C70" s="62">
        <v>700000</v>
      </c>
      <c r="E70" t="s">
        <v>120</v>
      </c>
      <c r="F70" s="63">
        <v>0.25</v>
      </c>
    </row>
    <row r="71" spans="1:6" x14ac:dyDescent="0.25">
      <c r="B71" t="s">
        <v>122</v>
      </c>
      <c r="E71" s="63">
        <v>0.3</v>
      </c>
    </row>
    <row r="72" spans="1:6" x14ac:dyDescent="0.25">
      <c r="B72" t="s">
        <v>123</v>
      </c>
      <c r="F72">
        <v>0.6</v>
      </c>
    </row>
    <row r="73" spans="1:6" x14ac:dyDescent="0.25">
      <c r="B73" t="s">
        <v>124</v>
      </c>
    </row>
    <row r="74" spans="1:6" x14ac:dyDescent="0.25">
      <c r="A74" t="s">
        <v>125</v>
      </c>
      <c r="B74" s="63">
        <v>0.625</v>
      </c>
      <c r="C74" t="s">
        <v>126</v>
      </c>
      <c r="D74" s="63">
        <v>0.375</v>
      </c>
      <c r="E74" t="s">
        <v>127</v>
      </c>
      <c r="F74" s="63">
        <v>0</v>
      </c>
    </row>
    <row r="75" spans="1:6" x14ac:dyDescent="0.25">
      <c r="A75" t="s">
        <v>128</v>
      </c>
      <c r="B75" s="63">
        <v>0.33329999999999999</v>
      </c>
      <c r="C75" t="s">
        <v>126</v>
      </c>
      <c r="D75" s="63">
        <v>0.66669999999999996</v>
      </c>
      <c r="E75" t="s">
        <v>127</v>
      </c>
      <c r="F75" s="63">
        <v>0</v>
      </c>
    </row>
    <row r="76" spans="1:6" x14ac:dyDescent="0.25">
      <c r="A76" t="s">
        <v>129</v>
      </c>
      <c r="B76" s="63">
        <v>0.33329999999999999</v>
      </c>
      <c r="C76" t="s">
        <v>126</v>
      </c>
      <c r="D76" s="63">
        <v>0.33329999999999999</v>
      </c>
      <c r="E76" t="s">
        <v>127</v>
      </c>
      <c r="F76" s="63">
        <v>0.33339999999999997</v>
      </c>
    </row>
    <row r="77" spans="1:6" x14ac:dyDescent="0.25">
      <c r="A77" t="s">
        <v>130</v>
      </c>
    </row>
    <row r="78" spans="1:6" x14ac:dyDescent="0.25">
      <c r="A78" t="s">
        <v>131</v>
      </c>
    </row>
    <row r="79" spans="1:6" x14ac:dyDescent="0.25">
      <c r="A79" t="s">
        <v>132</v>
      </c>
    </row>
    <row r="80" spans="1:6" x14ac:dyDescent="0.25">
      <c r="A80" t="s">
        <v>133</v>
      </c>
    </row>
    <row r="82" spans="1:3" x14ac:dyDescent="0.25">
      <c r="A82" s="1"/>
      <c r="B82" s="1"/>
      <c r="C8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7"/>
  <sheetViews>
    <sheetView topLeftCell="A20" workbookViewId="0">
      <selection activeCell="A53" sqref="A53"/>
    </sheetView>
  </sheetViews>
  <sheetFormatPr baseColWidth="10" defaultRowHeight="15" x14ac:dyDescent="0.25"/>
  <sheetData>
    <row r="2" spans="1:5" x14ac:dyDescent="0.25">
      <c r="A2" s="1" t="s">
        <v>28</v>
      </c>
    </row>
    <row r="5" spans="1:5" x14ac:dyDescent="0.25">
      <c r="B5" s="9"/>
      <c r="E5" s="9"/>
    </row>
    <row r="6" spans="1:5" x14ac:dyDescent="0.25">
      <c r="A6" s="1" t="s">
        <v>4</v>
      </c>
      <c r="B6" s="9">
        <v>5000</v>
      </c>
      <c r="C6" s="1" t="s">
        <v>29</v>
      </c>
      <c r="E6" s="9">
        <v>33985</v>
      </c>
    </row>
    <row r="7" spans="1:5" x14ac:dyDescent="0.25">
      <c r="A7" s="1" t="s">
        <v>30</v>
      </c>
      <c r="B7" s="9">
        <f>+B9-B6-B8</f>
        <v>75151.006849315076</v>
      </c>
      <c r="C7" s="1" t="s">
        <v>31</v>
      </c>
      <c r="E7" s="10">
        <f>+D24</f>
        <v>29975.89</v>
      </c>
    </row>
    <row r="8" spans="1:5" x14ac:dyDescent="0.25">
      <c r="A8" s="1" t="s">
        <v>32</v>
      </c>
      <c r="B8" s="11">
        <v>31999.493150684932</v>
      </c>
      <c r="C8" s="1" t="s">
        <v>33</v>
      </c>
      <c r="E8" s="12">
        <f>+E6+E7</f>
        <v>63960.89</v>
      </c>
    </row>
    <row r="9" spans="1:5" x14ac:dyDescent="0.25">
      <c r="A9" s="1" t="s">
        <v>34</v>
      </c>
      <c r="B9" s="13">
        <v>112150.5</v>
      </c>
      <c r="C9" s="1"/>
      <c r="E9" s="9"/>
    </row>
    <row r="10" spans="1:5" x14ac:dyDescent="0.25">
      <c r="A10" s="1" t="s">
        <v>35</v>
      </c>
      <c r="B10" s="14">
        <v>165939.5</v>
      </c>
      <c r="C10" s="1" t="s">
        <v>36</v>
      </c>
      <c r="E10" s="9">
        <f>+E12-E8</f>
        <v>214129.94333333336</v>
      </c>
    </row>
    <row r="11" spans="1:5" x14ac:dyDescent="0.25">
      <c r="A11" s="1"/>
      <c r="B11" s="9"/>
      <c r="C11" s="1"/>
      <c r="E11" s="9"/>
    </row>
    <row r="12" spans="1:5" x14ac:dyDescent="0.25">
      <c r="A12" s="1" t="s">
        <v>37</v>
      </c>
      <c r="B12" s="15">
        <f>+D16</f>
        <v>278090.83333333337</v>
      </c>
      <c r="C12" s="1" t="s">
        <v>38</v>
      </c>
      <c r="E12" s="15">
        <f>+B12</f>
        <v>278090.83333333337</v>
      </c>
    </row>
    <row r="13" spans="1:5" x14ac:dyDescent="0.25">
      <c r="B13" s="9"/>
      <c r="E13" s="9"/>
    </row>
    <row r="14" spans="1:5" x14ac:dyDescent="0.25">
      <c r="A14" s="16" t="s">
        <v>39</v>
      </c>
      <c r="B14" s="17"/>
      <c r="C14" s="16"/>
      <c r="D14" s="16"/>
      <c r="E14" s="17"/>
    </row>
    <row r="15" spans="1:5" ht="15.75" thickBot="1" x14ac:dyDescent="0.3">
      <c r="A15" s="16"/>
      <c r="B15" s="17"/>
      <c r="C15" s="16"/>
      <c r="D15" s="16"/>
      <c r="E15" s="17"/>
    </row>
    <row r="16" spans="1:5" ht="15.75" thickBot="1" x14ac:dyDescent="0.3">
      <c r="A16" s="16" t="s">
        <v>40</v>
      </c>
      <c r="B16" s="17"/>
      <c r="C16" s="16"/>
      <c r="D16" s="18">
        <f>333709/1.2</f>
        <v>278090.83333333337</v>
      </c>
      <c r="E16" s="17"/>
    </row>
    <row r="17" spans="1:5" x14ac:dyDescent="0.25">
      <c r="A17" s="16"/>
      <c r="B17" s="17"/>
      <c r="C17" s="16"/>
      <c r="D17" s="16"/>
      <c r="E17" s="17"/>
    </row>
    <row r="18" spans="1:5" x14ac:dyDescent="0.25">
      <c r="A18" s="16" t="s">
        <v>41</v>
      </c>
      <c r="B18" s="17"/>
      <c r="C18" s="16"/>
      <c r="D18" s="16"/>
      <c r="E18" s="17"/>
    </row>
    <row r="19" spans="1:5" ht="15.75" thickBot="1" x14ac:dyDescent="0.3">
      <c r="A19" s="16"/>
      <c r="B19" s="17"/>
      <c r="C19" s="16"/>
      <c r="D19" s="16"/>
      <c r="E19" s="17"/>
    </row>
    <row r="20" spans="1:5" ht="15.75" thickBot="1" x14ac:dyDescent="0.3">
      <c r="A20" s="16" t="s">
        <v>42</v>
      </c>
      <c r="B20" s="17"/>
      <c r="C20" s="16"/>
      <c r="D20" s="19">
        <f>278090.83*0.23</f>
        <v>63960.890900000006</v>
      </c>
      <c r="E20" s="17"/>
    </row>
    <row r="21" spans="1:5" x14ac:dyDescent="0.25">
      <c r="A21" s="16"/>
      <c r="B21" s="17"/>
      <c r="C21" s="16"/>
      <c r="D21" s="16"/>
      <c r="E21" s="17"/>
    </row>
    <row r="22" spans="1:5" x14ac:dyDescent="0.25">
      <c r="A22" s="16" t="s">
        <v>43</v>
      </c>
      <c r="B22" s="17"/>
      <c r="C22" s="16"/>
      <c r="D22" s="16"/>
      <c r="E22" s="17"/>
    </row>
    <row r="23" spans="1:5" ht="15.75" thickBot="1" x14ac:dyDescent="0.3">
      <c r="A23" s="16"/>
      <c r="B23" s="17"/>
      <c r="C23" s="16"/>
      <c r="D23" s="16"/>
      <c r="E23" s="17"/>
    </row>
    <row r="24" spans="1:5" ht="15.75" thickBot="1" x14ac:dyDescent="0.3">
      <c r="A24" s="16" t="s">
        <v>44</v>
      </c>
      <c r="B24" s="17"/>
      <c r="C24" s="16"/>
      <c r="D24" s="20">
        <f>63960.89-33985</f>
        <v>29975.89</v>
      </c>
      <c r="E24" s="17"/>
    </row>
    <row r="25" spans="1:5" x14ac:dyDescent="0.25">
      <c r="A25" s="16"/>
      <c r="B25" s="17"/>
      <c r="C25" s="16"/>
      <c r="D25" s="16"/>
      <c r="E25" s="17"/>
    </row>
    <row r="26" spans="1:5" x14ac:dyDescent="0.25">
      <c r="A26" s="16" t="s">
        <v>45</v>
      </c>
      <c r="B26" s="17"/>
      <c r="C26" s="16"/>
      <c r="D26" s="16"/>
      <c r="E26" s="17"/>
    </row>
    <row r="27" spans="1:5" ht="15.75" thickBot="1" x14ac:dyDescent="0.3">
      <c r="A27" s="16"/>
      <c r="B27" s="17"/>
      <c r="C27" s="16"/>
      <c r="D27" s="16"/>
      <c r="E27" s="17"/>
    </row>
    <row r="28" spans="1:5" ht="15.75" thickBot="1" x14ac:dyDescent="0.3">
      <c r="A28" s="16" t="s">
        <v>46</v>
      </c>
      <c r="B28" s="17"/>
      <c r="C28" s="16"/>
      <c r="D28" s="21">
        <v>112150.5</v>
      </c>
      <c r="E28" s="17"/>
    </row>
    <row r="29" spans="1:5" x14ac:dyDescent="0.25">
      <c r="A29" s="16"/>
      <c r="B29" s="17"/>
      <c r="C29" s="16"/>
      <c r="D29" s="16"/>
      <c r="E29" s="17"/>
    </row>
    <row r="30" spans="1:5" x14ac:dyDescent="0.25">
      <c r="A30" s="16"/>
      <c r="B30" s="17"/>
      <c r="C30" s="16"/>
      <c r="D30" s="16"/>
      <c r="E30" s="17"/>
    </row>
    <row r="31" spans="1:5" x14ac:dyDescent="0.25">
      <c r="A31" s="16" t="s">
        <v>47</v>
      </c>
      <c r="B31" s="17"/>
      <c r="C31" s="16"/>
      <c r="D31" s="16"/>
      <c r="E31" s="17"/>
    </row>
    <row r="32" spans="1:5" ht="15.75" thickBot="1" x14ac:dyDescent="0.3">
      <c r="A32" s="16"/>
      <c r="B32" s="17"/>
      <c r="C32" s="16"/>
      <c r="D32" s="16"/>
      <c r="E32" s="9"/>
    </row>
    <row r="33" spans="1:5" ht="15.75" thickBot="1" x14ac:dyDescent="0.3">
      <c r="A33" s="16" t="s">
        <v>48</v>
      </c>
      <c r="B33" s="17"/>
      <c r="C33" s="16"/>
      <c r="D33" s="22">
        <v>288300.3</v>
      </c>
      <c r="E33" s="9"/>
    </row>
    <row r="34" spans="1:5" x14ac:dyDescent="0.25">
      <c r="B34" s="9"/>
      <c r="E34" s="9"/>
    </row>
    <row r="35" spans="1:5" x14ac:dyDescent="0.25">
      <c r="A35" t="s">
        <v>49</v>
      </c>
      <c r="B35" s="9"/>
      <c r="E35" s="9"/>
    </row>
    <row r="36" spans="1:5" ht="15.75" thickBot="1" x14ac:dyDescent="0.3">
      <c r="B36" s="9"/>
      <c r="E36" s="9"/>
    </row>
    <row r="37" spans="1:5" ht="15.75" thickBot="1" x14ac:dyDescent="0.3">
      <c r="A37" t="s">
        <v>50</v>
      </c>
      <c r="B37" s="9"/>
      <c r="D37" s="23">
        <v>31999.493150684932</v>
      </c>
      <c r="E37" s="9"/>
    </row>
    <row r="38" spans="1:5" x14ac:dyDescent="0.25">
      <c r="B38" s="9"/>
      <c r="E38" s="9"/>
    </row>
    <row r="39" spans="1:5" x14ac:dyDescent="0.25">
      <c r="B39" s="9"/>
      <c r="E39" s="9"/>
    </row>
    <row r="40" spans="1:5" x14ac:dyDescent="0.25">
      <c r="A40" s="1" t="s">
        <v>88</v>
      </c>
      <c r="B40" s="9"/>
      <c r="C40" s="1"/>
      <c r="E40" s="9"/>
    </row>
    <row r="41" spans="1:5" x14ac:dyDescent="0.25">
      <c r="A41" s="1"/>
      <c r="B41" s="9"/>
      <c r="C41" s="1"/>
      <c r="E41" s="9"/>
    </row>
    <row r="42" spans="1:5" x14ac:dyDescent="0.25">
      <c r="A42" s="16" t="s">
        <v>72</v>
      </c>
      <c r="B42" s="16"/>
      <c r="C42" s="16"/>
      <c r="D42" s="16"/>
      <c r="E42" s="16"/>
    </row>
    <row r="43" spans="1:5" x14ac:dyDescent="0.25">
      <c r="A43" s="16"/>
      <c r="B43" s="16"/>
      <c r="C43" s="16"/>
      <c r="D43" s="16"/>
      <c r="E43" s="16"/>
    </row>
    <row r="44" spans="1:5" x14ac:dyDescent="0.25">
      <c r="A44" s="16"/>
      <c r="B44" s="16" t="s">
        <v>73</v>
      </c>
      <c r="C44" s="16" t="s">
        <v>74</v>
      </c>
      <c r="D44" s="16"/>
      <c r="E44" s="16">
        <f>739908/2.5</f>
        <v>295963.2</v>
      </c>
    </row>
    <row r="45" spans="1:5" x14ac:dyDescent="0.25">
      <c r="A45" s="16"/>
      <c r="B45" s="16"/>
      <c r="C45" s="16"/>
      <c r="D45" s="16"/>
      <c r="E45" s="16"/>
    </row>
    <row r="46" spans="1:5" x14ac:dyDescent="0.25">
      <c r="A46" s="1"/>
    </row>
    <row r="47" spans="1:5" x14ac:dyDescent="0.25">
      <c r="A47" s="1" t="s">
        <v>89</v>
      </c>
      <c r="B47" s="16"/>
      <c r="C47" s="16"/>
    </row>
    <row r="48" spans="1:5" x14ac:dyDescent="0.25">
      <c r="A48" s="16"/>
      <c r="B48" s="16"/>
      <c r="C48" s="16"/>
    </row>
    <row r="49" spans="1:4" x14ac:dyDescent="0.25">
      <c r="A49" s="16" t="s">
        <v>86</v>
      </c>
      <c r="B49" s="16"/>
      <c r="C49" s="16"/>
      <c r="D49" s="16"/>
    </row>
    <row r="50" spans="1:4" x14ac:dyDescent="0.25">
      <c r="A50" s="16"/>
      <c r="B50" s="16"/>
      <c r="C50" s="16"/>
      <c r="D50" s="16"/>
    </row>
    <row r="51" spans="1:4" x14ac:dyDescent="0.25">
      <c r="A51" s="16"/>
      <c r="B51" s="16" t="s">
        <v>87</v>
      </c>
      <c r="C51" s="16"/>
      <c r="D51" s="16">
        <f>(650/4200)*365</f>
        <v>56.488095238095241</v>
      </c>
    </row>
    <row r="52" spans="1:4" x14ac:dyDescent="0.25">
      <c r="A52" s="16"/>
      <c r="B52" s="16"/>
      <c r="C52" s="16"/>
    </row>
    <row r="53" spans="1:4" x14ac:dyDescent="0.25">
      <c r="A53" s="16"/>
      <c r="B53" s="24"/>
      <c r="C53" s="25"/>
    </row>
    <row r="54" spans="1:4" x14ac:dyDescent="0.25">
      <c r="A54" s="16"/>
      <c r="B54" s="16"/>
      <c r="C54" s="16"/>
    </row>
    <row r="55" spans="1:4" x14ac:dyDescent="0.25">
      <c r="A55" s="16"/>
      <c r="B55" s="16"/>
      <c r="C55" s="16"/>
    </row>
    <row r="56" spans="1:4" x14ac:dyDescent="0.25">
      <c r="A56" s="16"/>
      <c r="B56" s="16"/>
      <c r="C56" s="16"/>
    </row>
    <row r="57" spans="1:4" x14ac:dyDescent="0.25">
      <c r="A57" s="16"/>
      <c r="B57" s="16"/>
      <c r="C57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F36" sqref="F36"/>
    </sheetView>
  </sheetViews>
  <sheetFormatPr baseColWidth="10" defaultRowHeight="15" x14ac:dyDescent="0.25"/>
  <cols>
    <col min="1" max="1" width="16.7109375" customWidth="1"/>
  </cols>
  <sheetData>
    <row r="1" spans="1:5" x14ac:dyDescent="0.25">
      <c r="A1" s="1"/>
      <c r="B1" s="9"/>
      <c r="C1" s="1"/>
      <c r="E1" s="9"/>
    </row>
    <row r="2" spans="1:5" x14ac:dyDescent="0.25">
      <c r="A2" s="1" t="s">
        <v>21</v>
      </c>
    </row>
    <row r="3" spans="1:5" x14ac:dyDescent="0.25">
      <c r="A3" s="1"/>
    </row>
    <row r="4" spans="1:5" x14ac:dyDescent="0.25">
      <c r="A4" s="16" t="s">
        <v>51</v>
      </c>
      <c r="B4" t="s">
        <v>52</v>
      </c>
    </row>
    <row r="5" spans="1:5" x14ac:dyDescent="0.25">
      <c r="A5" s="1"/>
    </row>
    <row r="6" spans="1:5" x14ac:dyDescent="0.25">
      <c r="A6" s="16" t="s">
        <v>53</v>
      </c>
      <c r="B6" s="16" t="s">
        <v>54</v>
      </c>
      <c r="C6" s="16"/>
    </row>
    <row r="7" spans="1:5" x14ac:dyDescent="0.25">
      <c r="A7" s="16"/>
      <c r="B7" s="16"/>
      <c r="C7" s="16"/>
    </row>
    <row r="8" spans="1:5" x14ac:dyDescent="0.25">
      <c r="A8" s="16" t="s">
        <v>55</v>
      </c>
      <c r="B8" s="16" t="s">
        <v>56</v>
      </c>
      <c r="C8" s="16"/>
    </row>
    <row r="9" spans="1:5" x14ac:dyDescent="0.25">
      <c r="A9" s="16"/>
      <c r="B9" s="16"/>
      <c r="C9" s="16"/>
    </row>
    <row r="10" spans="1:5" x14ac:dyDescent="0.25">
      <c r="A10" s="16"/>
      <c r="B10" s="16" t="s">
        <v>57</v>
      </c>
      <c r="C10" s="16"/>
    </row>
    <row r="11" spans="1:5" x14ac:dyDescent="0.25">
      <c r="A11" s="16"/>
      <c r="B11" s="16"/>
      <c r="C11" s="16"/>
    </row>
    <row r="12" spans="1:5" x14ac:dyDescent="0.25">
      <c r="A12" s="16"/>
      <c r="B12" s="24" t="s">
        <v>58</v>
      </c>
      <c r="C12" s="25">
        <f>300000/30</f>
        <v>10000</v>
      </c>
    </row>
    <row r="13" spans="1:5" x14ac:dyDescent="0.25">
      <c r="A13" s="16"/>
      <c r="B13" s="16"/>
      <c r="C13" s="16"/>
    </row>
    <row r="14" spans="1:5" x14ac:dyDescent="0.25">
      <c r="A14" s="16" t="s">
        <v>59</v>
      </c>
      <c r="B14" s="16"/>
      <c r="C14" s="16"/>
    </row>
    <row r="15" spans="1:5" x14ac:dyDescent="0.25">
      <c r="A15" s="16"/>
      <c r="B15" s="16"/>
      <c r="C15" s="16"/>
    </row>
    <row r="17" spans="1:6" x14ac:dyDescent="0.25">
      <c r="A17" s="32" t="s">
        <v>111</v>
      </c>
    </row>
    <row r="19" spans="1:6" x14ac:dyDescent="0.25">
      <c r="A19" s="16" t="s">
        <v>99</v>
      </c>
      <c r="B19" s="16"/>
      <c r="C19" s="16"/>
      <c r="D19" s="16"/>
      <c r="E19" s="16"/>
      <c r="F19" s="16"/>
    </row>
    <row r="20" spans="1:6" x14ac:dyDescent="0.25">
      <c r="A20" s="16"/>
      <c r="B20" s="16"/>
      <c r="C20" s="16"/>
      <c r="D20" s="16"/>
      <c r="E20" s="16"/>
      <c r="F20" s="16"/>
    </row>
    <row r="21" spans="1:6" x14ac:dyDescent="0.25">
      <c r="A21" s="16" t="s">
        <v>100</v>
      </c>
      <c r="B21" s="16"/>
      <c r="C21" s="16"/>
      <c r="D21" s="16"/>
      <c r="E21" s="16"/>
      <c r="F21" s="16"/>
    </row>
    <row r="22" spans="1:6" x14ac:dyDescent="0.25">
      <c r="A22" s="16"/>
      <c r="B22" s="16"/>
      <c r="C22" s="16"/>
      <c r="D22" s="16"/>
      <c r="E22" s="16"/>
      <c r="F22" s="16"/>
    </row>
    <row r="23" spans="1:6" x14ac:dyDescent="0.25">
      <c r="A23" s="16" t="s">
        <v>101</v>
      </c>
      <c r="B23" s="16"/>
      <c r="C23" s="16"/>
      <c r="F23" s="16"/>
    </row>
    <row r="24" spans="1:6" x14ac:dyDescent="0.25">
      <c r="A24" s="16"/>
      <c r="B24" s="16"/>
      <c r="C24" s="16"/>
      <c r="D24" s="16"/>
      <c r="E24" s="16"/>
      <c r="F24" s="16"/>
    </row>
    <row r="25" spans="1:6" x14ac:dyDescent="0.25">
      <c r="A25" s="16" t="s">
        <v>102</v>
      </c>
      <c r="B25" s="16"/>
      <c r="C25" s="16"/>
      <c r="D25" s="16"/>
    </row>
    <row r="28" spans="1:6" x14ac:dyDescent="0.25">
      <c r="A28" s="32" t="s">
        <v>113</v>
      </c>
    </row>
    <row r="29" spans="1:6" x14ac:dyDescent="0.25">
      <c r="A29" s="32"/>
    </row>
    <row r="30" spans="1:6" x14ac:dyDescent="0.25">
      <c r="A30" s="16" t="s">
        <v>107</v>
      </c>
      <c r="B30" s="16"/>
      <c r="C30" s="16"/>
      <c r="D30" s="16"/>
      <c r="E30" s="16"/>
      <c r="F30" s="16"/>
    </row>
    <row r="31" spans="1:6" x14ac:dyDescent="0.25">
      <c r="A31" s="16"/>
      <c r="B31" s="16"/>
      <c r="C31" s="16"/>
      <c r="D31" s="16"/>
      <c r="E31" s="16"/>
      <c r="F31" s="16"/>
    </row>
    <row r="32" spans="1:6" x14ac:dyDescent="0.25">
      <c r="A32" s="16" t="s">
        <v>108</v>
      </c>
      <c r="B32" s="16"/>
      <c r="C32" s="16"/>
      <c r="D32" s="16"/>
      <c r="E32" s="16"/>
      <c r="F32" s="16"/>
    </row>
    <row r="33" spans="1:6" x14ac:dyDescent="0.25">
      <c r="A33" s="16"/>
      <c r="B33" s="16"/>
      <c r="C33" s="16"/>
      <c r="D33" s="16"/>
      <c r="E33" s="16"/>
      <c r="F33" s="16"/>
    </row>
    <row r="34" spans="1:6" x14ac:dyDescent="0.25">
      <c r="A34" s="16"/>
      <c r="B34" s="16" t="s">
        <v>109</v>
      </c>
      <c r="C34" s="16"/>
      <c r="D34" s="16" t="s">
        <v>110</v>
      </c>
      <c r="E34" s="16"/>
      <c r="F34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5"/>
  <sheetViews>
    <sheetView tabSelected="1" topLeftCell="A10" workbookViewId="0">
      <selection activeCell="I2" sqref="I2"/>
    </sheetView>
  </sheetViews>
  <sheetFormatPr baseColWidth="10" defaultRowHeight="15" x14ac:dyDescent="0.25"/>
  <sheetData>
    <row r="3" spans="1:6" x14ac:dyDescent="0.25">
      <c r="A3" s="32" t="s">
        <v>147</v>
      </c>
    </row>
    <row r="4" spans="1:6" x14ac:dyDescent="0.25">
      <c r="A4" s="16" t="s">
        <v>134</v>
      </c>
      <c r="B4" s="16"/>
      <c r="C4" s="16" t="s">
        <v>135</v>
      </c>
    </row>
    <row r="5" spans="1:6" x14ac:dyDescent="0.25">
      <c r="A5" s="16"/>
      <c r="B5" s="16"/>
      <c r="C5" s="16"/>
    </row>
    <row r="6" spans="1:6" x14ac:dyDescent="0.25">
      <c r="B6" t="s">
        <v>124</v>
      </c>
    </row>
    <row r="7" spans="1:6" x14ac:dyDescent="0.25">
      <c r="B7" s="42" t="s">
        <v>124</v>
      </c>
      <c r="D7" s="42"/>
      <c r="F7" s="42"/>
    </row>
    <row r="8" spans="1:6" x14ac:dyDescent="0.25">
      <c r="A8" t="s">
        <v>125</v>
      </c>
      <c r="B8" s="42">
        <v>0.625</v>
      </c>
      <c r="C8" t="s">
        <v>126</v>
      </c>
      <c r="D8" s="42">
        <v>0.375</v>
      </c>
      <c r="E8" t="s">
        <v>127</v>
      </c>
      <c r="F8" s="42">
        <v>0</v>
      </c>
    </row>
    <row r="9" spans="1:6" x14ac:dyDescent="0.25">
      <c r="A9" t="s">
        <v>128</v>
      </c>
      <c r="B9" s="42">
        <v>0.33329999999999999</v>
      </c>
      <c r="C9" t="s">
        <v>126</v>
      </c>
      <c r="D9" s="42">
        <v>0.66669999999999996</v>
      </c>
      <c r="E9" t="s">
        <v>127</v>
      </c>
      <c r="F9" s="42">
        <v>0</v>
      </c>
    </row>
    <row r="10" spans="1:6" x14ac:dyDescent="0.25">
      <c r="A10" s="16" t="s">
        <v>129</v>
      </c>
      <c r="B10" s="75">
        <v>0.33329999999999999</v>
      </c>
      <c r="C10" s="16" t="s">
        <v>126</v>
      </c>
      <c r="D10" s="76">
        <v>0.33329999999999999</v>
      </c>
      <c r="E10" t="s">
        <v>127</v>
      </c>
      <c r="F10" s="76">
        <v>0.33339999999999997</v>
      </c>
    </row>
    <row r="11" spans="1:6" x14ac:dyDescent="0.25">
      <c r="A11" s="16"/>
      <c r="B11" s="16"/>
      <c r="C11" s="16"/>
    </row>
    <row r="12" spans="1:6" x14ac:dyDescent="0.25">
      <c r="A12" t="s">
        <v>136</v>
      </c>
      <c r="C12" s="43">
        <v>312500</v>
      </c>
      <c r="D12" t="s">
        <v>137</v>
      </c>
    </row>
    <row r="13" spans="1:6" x14ac:dyDescent="0.25">
      <c r="A13" s="44" t="s">
        <v>138</v>
      </c>
      <c r="B13" s="44" t="s">
        <v>148</v>
      </c>
      <c r="C13" s="45"/>
      <c r="D13" s="44" t="s">
        <v>139</v>
      </c>
      <c r="E13" s="44" t="s">
        <v>140</v>
      </c>
    </row>
    <row r="14" spans="1:6" x14ac:dyDescent="0.25">
      <c r="A14" s="45" t="s">
        <v>141</v>
      </c>
      <c r="B14" s="46">
        <v>0.25</v>
      </c>
      <c r="C14" s="45"/>
      <c r="D14" s="47">
        <v>312500</v>
      </c>
      <c r="E14" s="48">
        <v>78125</v>
      </c>
    </row>
    <row r="15" spans="1:6" x14ac:dyDescent="0.25">
      <c r="A15" s="45" t="s">
        <v>126</v>
      </c>
      <c r="B15" s="46">
        <v>0.17499999999999999</v>
      </c>
      <c r="C15" s="45"/>
      <c r="D15" s="47">
        <v>187500</v>
      </c>
      <c r="E15" s="48">
        <v>32812.5</v>
      </c>
      <c r="F15">
        <v>0</v>
      </c>
    </row>
    <row r="16" spans="1:6" x14ac:dyDescent="0.25">
      <c r="A16" s="45" t="s">
        <v>142</v>
      </c>
      <c r="B16" s="46">
        <v>0.39200000000000002</v>
      </c>
      <c r="C16" s="45"/>
      <c r="D16" s="45">
        <v>0</v>
      </c>
      <c r="E16" s="48">
        <v>0</v>
      </c>
      <c r="F16">
        <v>0</v>
      </c>
    </row>
    <row r="17" spans="1:5" x14ac:dyDescent="0.25">
      <c r="A17" s="45" t="s">
        <v>143</v>
      </c>
      <c r="B17" s="45"/>
      <c r="C17" s="46">
        <v>0.22187499999999999</v>
      </c>
      <c r="D17" s="45"/>
      <c r="E17" s="48">
        <v>110937.5</v>
      </c>
    </row>
    <row r="18" spans="1:5" x14ac:dyDescent="0.25">
      <c r="A18" s="49" t="s">
        <v>144</v>
      </c>
    </row>
    <row r="19" spans="1:5" x14ac:dyDescent="0.25">
      <c r="A19" s="49" t="s">
        <v>145</v>
      </c>
    </row>
    <row r="22" spans="1:5" x14ac:dyDescent="0.25">
      <c r="A22" s="32" t="s">
        <v>161</v>
      </c>
    </row>
    <row r="24" spans="1:5" x14ac:dyDescent="0.25">
      <c r="A24" s="57" t="s">
        <v>160</v>
      </c>
      <c r="B24" s="58"/>
    </row>
    <row r="25" spans="1:5" x14ac:dyDescent="0.25">
      <c r="B25" t="s">
        <v>162</v>
      </c>
    </row>
    <row r="28" spans="1:5" x14ac:dyDescent="0.25">
      <c r="A28" s="32" t="s">
        <v>175</v>
      </c>
    </row>
    <row r="30" spans="1:5" x14ac:dyDescent="0.25">
      <c r="A30" s="52" t="s">
        <v>173</v>
      </c>
      <c r="C30" t="s">
        <v>192</v>
      </c>
    </row>
    <row r="31" spans="1:5" x14ac:dyDescent="0.25">
      <c r="C31" t="s">
        <v>162</v>
      </c>
    </row>
    <row r="33" spans="1:6" x14ac:dyDescent="0.25">
      <c r="A33" s="32" t="s">
        <v>191</v>
      </c>
    </row>
    <row r="34" spans="1:6" x14ac:dyDescent="0.25">
      <c r="A34" s="16" t="s">
        <v>134</v>
      </c>
      <c r="B34" s="1"/>
      <c r="C34" s="16" t="s">
        <v>135</v>
      </c>
    </row>
    <row r="35" spans="1:6" x14ac:dyDescent="0.25">
      <c r="A35" t="s">
        <v>136</v>
      </c>
      <c r="C35" s="43">
        <v>625000</v>
      </c>
      <c r="D35" t="s">
        <v>137</v>
      </c>
    </row>
    <row r="36" spans="1:6" x14ac:dyDescent="0.25">
      <c r="A36" s="44" t="s">
        <v>138</v>
      </c>
      <c r="B36" s="44" t="s">
        <v>148</v>
      </c>
      <c r="C36" s="45"/>
      <c r="D36" s="44" t="s">
        <v>139</v>
      </c>
      <c r="E36" s="44" t="s">
        <v>140</v>
      </c>
    </row>
    <row r="37" spans="1:6" x14ac:dyDescent="0.25">
      <c r="A37" s="45" t="s">
        <v>141</v>
      </c>
      <c r="B37" s="46">
        <v>0.2</v>
      </c>
      <c r="C37" s="45"/>
      <c r="D37" s="47">
        <v>625000</v>
      </c>
      <c r="E37" s="48">
        <v>125000</v>
      </c>
    </row>
    <row r="38" spans="1:6" x14ac:dyDescent="0.25">
      <c r="A38" s="45" t="s">
        <v>126</v>
      </c>
      <c r="B38" s="46">
        <v>0.09</v>
      </c>
      <c r="C38" s="45"/>
      <c r="D38" s="47">
        <v>375000</v>
      </c>
      <c r="E38" s="48">
        <v>33750</v>
      </c>
      <c r="F38">
        <v>0</v>
      </c>
    </row>
    <row r="39" spans="1:6" x14ac:dyDescent="0.25">
      <c r="A39" s="45" t="s">
        <v>142</v>
      </c>
      <c r="B39" s="46">
        <v>0.22499999999999998</v>
      </c>
      <c r="C39" s="45"/>
      <c r="D39" s="45">
        <v>0</v>
      </c>
      <c r="E39" s="48">
        <v>0</v>
      </c>
      <c r="F39">
        <v>0</v>
      </c>
    </row>
    <row r="40" spans="1:6" x14ac:dyDescent="0.25">
      <c r="A40" s="45" t="s">
        <v>143</v>
      </c>
      <c r="B40" s="45"/>
      <c r="C40" s="46">
        <v>0.15875</v>
      </c>
      <c r="D40" s="45"/>
      <c r="E40" s="48">
        <v>158750</v>
      </c>
    </row>
    <row r="41" spans="1:6" x14ac:dyDescent="0.25">
      <c r="A41" s="49" t="s">
        <v>144</v>
      </c>
    </row>
    <row r="42" spans="1:6" x14ac:dyDescent="0.25">
      <c r="A42" s="49" t="s">
        <v>145</v>
      </c>
    </row>
    <row r="43" spans="1:6" x14ac:dyDescent="0.25">
      <c r="A43" s="49" t="s">
        <v>190</v>
      </c>
    </row>
    <row r="45" spans="1:6" x14ac:dyDescent="0.25">
      <c r="A45" s="32" t="s">
        <v>195</v>
      </c>
    </row>
    <row r="46" spans="1:6" x14ac:dyDescent="0.25">
      <c r="A46" t="s">
        <v>134</v>
      </c>
      <c r="C46" t="s">
        <v>135</v>
      </c>
    </row>
    <row r="47" spans="1:6" x14ac:dyDescent="0.25">
      <c r="A47" t="s">
        <v>136</v>
      </c>
      <c r="C47">
        <v>312500</v>
      </c>
      <c r="D47" t="s">
        <v>137</v>
      </c>
    </row>
    <row r="48" spans="1:6" ht="15.75" thickBot="1" x14ac:dyDescent="0.3">
      <c r="A48" t="s">
        <v>138</v>
      </c>
      <c r="B48" t="s">
        <v>148</v>
      </c>
      <c r="D48" t="s">
        <v>139</v>
      </c>
      <c r="E48" t="s">
        <v>140</v>
      </c>
    </row>
    <row r="49" spans="1:5" x14ac:dyDescent="0.25">
      <c r="A49" t="s">
        <v>141</v>
      </c>
      <c r="B49" s="64">
        <v>0.25</v>
      </c>
      <c r="C49" s="65"/>
      <c r="D49" s="65">
        <v>312500</v>
      </c>
      <c r="E49" s="66">
        <v>78125</v>
      </c>
    </row>
    <row r="50" spans="1:5" x14ac:dyDescent="0.25">
      <c r="A50" t="s">
        <v>126</v>
      </c>
      <c r="B50" s="67">
        <v>0.17499999999999999</v>
      </c>
      <c r="C50" s="35"/>
      <c r="D50" s="35">
        <v>187500</v>
      </c>
      <c r="E50" s="68">
        <v>32812.5</v>
      </c>
    </row>
    <row r="51" spans="1:5" x14ac:dyDescent="0.25">
      <c r="A51" t="s">
        <v>142</v>
      </c>
      <c r="B51" s="67">
        <v>0.39200000000000002</v>
      </c>
      <c r="C51" s="35"/>
      <c r="D51" s="35">
        <v>0</v>
      </c>
      <c r="E51" s="68">
        <v>0</v>
      </c>
    </row>
    <row r="52" spans="1:5" ht="15.75" thickBot="1" x14ac:dyDescent="0.3">
      <c r="A52" t="s">
        <v>143</v>
      </c>
      <c r="B52" s="69"/>
      <c r="C52" s="70">
        <v>0.22187499999999999</v>
      </c>
      <c r="D52" s="71"/>
      <c r="E52" s="72">
        <v>110937.5</v>
      </c>
    </row>
    <row r="53" spans="1:5" x14ac:dyDescent="0.25">
      <c r="A53" t="s">
        <v>144</v>
      </c>
    </row>
    <row r="54" spans="1:5" x14ac:dyDescent="0.25">
      <c r="A54" t="s">
        <v>193</v>
      </c>
    </row>
    <row r="55" spans="1:5" x14ac:dyDescent="0.25">
      <c r="A5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Indices</vt:lpstr>
      <vt:lpstr>CUV</vt:lpstr>
      <vt:lpstr>Estr-Financ</vt:lpstr>
      <vt:lpstr>Solución Indices</vt:lpstr>
      <vt:lpstr>Solución CUV</vt:lpstr>
      <vt:lpstr>Solución Estr-Financ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2023-08-20T21:52:05Z</dcterms:created>
  <dcterms:modified xsi:type="dcterms:W3CDTF">2023-08-24T19:58:06Z</dcterms:modified>
</cp:coreProperties>
</file>