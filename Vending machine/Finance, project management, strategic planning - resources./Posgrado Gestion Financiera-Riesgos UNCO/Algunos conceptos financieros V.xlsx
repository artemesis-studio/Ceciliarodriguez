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iguel\Documents\"/>
    </mc:Choice>
  </mc:AlternateContent>
  <xr:revisionPtr revIDLastSave="0" documentId="13_ncr:1_{DE60FCA7-A2F4-44AF-BB8B-83B363DEE4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4" r:id="rId2"/>
    <sheet name="Hoja3" sheetId="3" r:id="rId3"/>
    <sheet name="Hoja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iS+07S2e0Qsqt7JISkJ6Mh8WIg=="/>
    </ext>
  </extLst>
</workbook>
</file>

<file path=xl/calcChain.xml><?xml version="1.0" encoding="utf-8"?>
<calcChain xmlns="http://schemas.openxmlformats.org/spreadsheetml/2006/main">
  <c r="C6" i="4" l="1"/>
  <c r="C4" i="4"/>
  <c r="C5" i="4" s="1"/>
  <c r="C25" i="4" s="1"/>
  <c r="C7" i="4" l="1"/>
  <c r="C10" i="4" s="1"/>
  <c r="C13" i="4" s="1"/>
  <c r="F42" i="1"/>
  <c r="E42" i="1"/>
  <c r="D42" i="1"/>
  <c r="H40" i="1" s="1"/>
  <c r="D30" i="1"/>
  <c r="C30" i="1"/>
  <c r="H29" i="1"/>
  <c r="G29" i="1"/>
  <c r="G30" i="1" s="1"/>
  <c r="H28" i="1"/>
  <c r="H27" i="1"/>
  <c r="H26" i="1"/>
  <c r="H30" i="1" s="1"/>
  <c r="C17" i="1"/>
  <c r="H16" i="1"/>
  <c r="H17" i="1" s="1"/>
  <c r="H39" i="1" l="1"/>
  <c r="C14" i="4"/>
  <c r="C21" i="4" s="1"/>
  <c r="C15" i="4" l="1"/>
  <c r="C23" i="4" s="1"/>
</calcChain>
</file>

<file path=xl/sharedStrings.xml><?xml version="1.0" encoding="utf-8"?>
<sst xmlns="http://schemas.openxmlformats.org/spreadsheetml/2006/main" count="80" uniqueCount="77">
  <si>
    <t>MODELIZACIÓN FINANCIERA</t>
  </si>
  <si>
    <t>ESTADO DE RESULTADOS BENEFICIO Y FLUJO DE CAJA</t>
  </si>
  <si>
    <t>Supongamos que tenemos que decidir entre pagar el ABL al contado con un descuento del</t>
  </si>
  <si>
    <t>Ventas</t>
  </si>
  <si>
    <t>ó pagarlo en 3 cuotas mensuales. El valor del impuesto es</t>
  </si>
  <si>
    <t>Costo de Ventas</t>
  </si>
  <si>
    <t>y el costo financiero del dinero es del</t>
  </si>
  <si>
    <t>mensual</t>
  </si>
  <si>
    <t>Margen Bruto</t>
  </si>
  <si>
    <t>Gastos de adm y com</t>
  </si>
  <si>
    <t>VN</t>
  </si>
  <si>
    <t>EBITDA</t>
  </si>
  <si>
    <t>d</t>
  </si>
  <si>
    <t>i</t>
  </si>
  <si>
    <t>Depreciaciones</t>
  </si>
  <si>
    <t>EBIT</t>
  </si>
  <si>
    <t>Gastos Financieros</t>
  </si>
  <si>
    <t>Alt 1</t>
  </si>
  <si>
    <t>Resultado imponible</t>
  </si>
  <si>
    <t>Alt 2</t>
  </si>
  <si>
    <t>Impuesto a las ganancias</t>
  </si>
  <si>
    <t>Resultado neto</t>
  </si>
  <si>
    <t>Net income</t>
  </si>
  <si>
    <t>VAN ALT 1</t>
  </si>
  <si>
    <t>VAN ALT 2</t>
  </si>
  <si>
    <t>Cash Flow</t>
  </si>
  <si>
    <t>Este planteo nos determina que sería preferible inclinarse por el pago al contado.</t>
  </si>
  <si>
    <t>1. Método arriba hacia abajo</t>
  </si>
  <si>
    <t>2. Método abajo hacia arriba</t>
  </si>
  <si>
    <t>3. Método escudo fiscal</t>
  </si>
  <si>
    <t>CONTABILIDAD</t>
  </si>
  <si>
    <t>FINANZAS</t>
  </si>
  <si>
    <t>VALUACIÓN HISTÓRICA</t>
  </si>
  <si>
    <t>VALUACIÓN FUTURA</t>
  </si>
  <si>
    <t>DEVENGADO</t>
  </si>
  <si>
    <t>PERCIBIDO</t>
  </si>
  <si>
    <t>CONSIDERA MOVIMIENTOS ECONÓMICOS</t>
  </si>
  <si>
    <t>SÓLO CONSIDERA MOVIMIENTOS DE DINERO</t>
  </si>
  <si>
    <t xml:space="preserve">   p.e. depreciaciones y cargos por incobrabilidad</t>
  </si>
  <si>
    <t>A</t>
  </si>
  <si>
    <t>Utilidades contables frente a los Flujos de Efectivo</t>
  </si>
  <si>
    <t>Ingresos</t>
  </si>
  <si>
    <t>Costos</t>
  </si>
  <si>
    <t>Egresos</t>
  </si>
  <si>
    <t>Utilidad</t>
  </si>
  <si>
    <t>Salida neta de efectivo</t>
  </si>
  <si>
    <t>La creación de valor depende de los flujos de efectivo</t>
  </si>
  <si>
    <t>B</t>
  </si>
  <si>
    <t>Periodicidad de los Flujos de Efectivo</t>
  </si>
  <si>
    <t>CASH FLOW 1</t>
  </si>
  <si>
    <t>CASH FLOW 2</t>
  </si>
  <si>
    <t>VA 1</t>
  </si>
  <si>
    <t>VA2</t>
  </si>
  <si>
    <t>C</t>
  </si>
  <si>
    <t>Riesgo de los Flujos de Efectivo</t>
  </si>
  <si>
    <t>Pesimista</t>
  </si>
  <si>
    <t>Más probable</t>
  </si>
  <si>
    <t>Optimista</t>
  </si>
  <si>
    <t>VR</t>
  </si>
  <si>
    <t>Chile</t>
  </si>
  <si>
    <t>Perú</t>
  </si>
  <si>
    <t>ACTIVOS        =      PASIVOS     +      PATRIMONIO NETO</t>
  </si>
  <si>
    <t>ACTIVOS CORRIENTES</t>
  </si>
  <si>
    <t>ACTIVOS NO CORRIENTES</t>
  </si>
  <si>
    <t>PASIVOS CORRIENTES</t>
  </si>
  <si>
    <t>PASIVOS NO CORRIENTES</t>
  </si>
  <si>
    <t>ACTIVOS CIRCULANTES O CP</t>
  </si>
  <si>
    <t>PASIVOS CIRCULANTES O CP</t>
  </si>
  <si>
    <t>PASIVOS DE LARGO PLAZO</t>
  </si>
  <si>
    <t>DEUDA DE LARGO PLAZO</t>
  </si>
  <si>
    <t>EQUITY</t>
  </si>
  <si>
    <t>PASIVOS DE CORTO PLAZO + DEUDA DE LARGO PLAZO  +  EQUITY</t>
  </si>
  <si>
    <t>CAPITAL DE TRABAJO    +    ACTIVO FIJO     =     DEUDA DE LARGO PLAZO  +   EQUITY</t>
  </si>
  <si>
    <t>A     =    D  +   E</t>
  </si>
  <si>
    <t>ACTIVO FIJO</t>
  </si>
  <si>
    <t>ACTIVOS CIRCULANTES   +    ACTIVO FIJO   =</t>
  </si>
  <si>
    <t>ACTIVOS CIRCULANTES -  PASIVOS DE CORTO PLAZO  +  ACTIVO FIJO   =   DEUDA DE LARGO PLAZO  +  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</si>
</sst>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 ;\-#,##0\ "/>
    <numFmt numFmtId="165" formatCode="_ * #,##0_ ;_ * \-#,##0_ ;_ * &quot;-&quot;??_ ;_ @_ "/>
    <numFmt numFmtId="166" formatCode="_ * #,##0.00_ ;_ * \-#,##0.00_ ;_ * &quot;-&quot;??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center"/>
    </xf>
    <xf numFmtId="165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/>
    <xf numFmtId="166" fontId="0" fillId="0" borderId="0" xfId="0" applyNumberFormat="1"/>
    <xf numFmtId="10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center"/>
    </xf>
    <xf numFmtId="1" fontId="0" fillId="0" borderId="0" xfId="1" applyNumberFormat="1" applyFont="1" applyAlignment="1">
      <alignment horizontal="center"/>
    </xf>
    <xf numFmtId="43" fontId="0" fillId="0" borderId="0" xfId="1" applyFont="1" applyAlignment="1"/>
    <xf numFmtId="0" fontId="5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H1002"/>
  <sheetViews>
    <sheetView tabSelected="1" zoomScale="110" zoomScaleNormal="110" workbookViewId="0"/>
  </sheetViews>
  <sheetFormatPr baseColWidth="10" defaultColWidth="14.42578125" defaultRowHeight="15" customHeight="1" x14ac:dyDescent="0.25"/>
  <cols>
    <col min="1" max="1" width="10.7109375" customWidth="1"/>
    <col min="2" max="2" width="13.140625" customWidth="1"/>
    <col min="3" max="3" width="13" customWidth="1"/>
    <col min="4" max="4" width="12.85546875" customWidth="1"/>
    <col min="5" max="5" width="15.140625" customWidth="1"/>
    <col min="6" max="7" width="10.7109375" customWidth="1"/>
    <col min="8" max="8" width="13.5703125" customWidth="1"/>
    <col min="9" max="9" width="11.85546875" customWidth="1"/>
    <col min="10" max="10" width="33.140625" customWidth="1"/>
    <col min="11" max="26" width="10.7109375" customWidth="1"/>
  </cols>
  <sheetData>
    <row r="3" spans="1:8" x14ac:dyDescent="0.25">
      <c r="B3" s="1" t="s">
        <v>30</v>
      </c>
      <c r="F3" s="1" t="s">
        <v>31</v>
      </c>
    </row>
    <row r="5" spans="1:8" x14ac:dyDescent="0.25">
      <c r="B5" s="3" t="s">
        <v>32</v>
      </c>
      <c r="F5" s="3" t="s">
        <v>33</v>
      </c>
    </row>
    <row r="6" spans="1:8" x14ac:dyDescent="0.25">
      <c r="B6" s="3" t="s">
        <v>34</v>
      </c>
      <c r="F6" s="3" t="s">
        <v>35</v>
      </c>
    </row>
    <row r="7" spans="1:8" x14ac:dyDescent="0.25">
      <c r="B7" s="3" t="s">
        <v>36</v>
      </c>
      <c r="F7" s="3" t="s">
        <v>37</v>
      </c>
    </row>
    <row r="8" spans="1:8" x14ac:dyDescent="0.25">
      <c r="B8" s="3" t="s">
        <v>38</v>
      </c>
    </row>
    <row r="11" spans="1:8" x14ac:dyDescent="0.25">
      <c r="B11" s="1" t="s">
        <v>31</v>
      </c>
    </row>
    <row r="13" spans="1:8" x14ac:dyDescent="0.25">
      <c r="A13" s="2" t="s">
        <v>39</v>
      </c>
      <c r="B13" s="1" t="s">
        <v>40</v>
      </c>
      <c r="C13" s="1"/>
      <c r="D13" s="1"/>
      <c r="E13" s="1"/>
    </row>
    <row r="15" spans="1:8" x14ac:dyDescent="0.25">
      <c r="B15" s="3" t="s">
        <v>3</v>
      </c>
      <c r="C15" s="10">
        <v>1000000</v>
      </c>
      <c r="F15" s="3" t="s">
        <v>41</v>
      </c>
      <c r="H15" s="3">
        <v>0</v>
      </c>
    </row>
    <row r="16" spans="1:8" x14ac:dyDescent="0.25">
      <c r="B16" s="3" t="s">
        <v>42</v>
      </c>
      <c r="C16" s="10">
        <v>900000</v>
      </c>
      <c r="F16" s="3" t="s">
        <v>43</v>
      </c>
      <c r="H16" s="10">
        <f>-C16</f>
        <v>-900000</v>
      </c>
    </row>
    <row r="17" spans="1:8" x14ac:dyDescent="0.25">
      <c r="B17" s="3" t="s">
        <v>44</v>
      </c>
      <c r="C17" s="10">
        <f>+C15-C16</f>
        <v>100000</v>
      </c>
      <c r="F17" s="3" t="s">
        <v>45</v>
      </c>
      <c r="H17" s="10">
        <f>+H16</f>
        <v>-900000</v>
      </c>
    </row>
    <row r="19" spans="1:8" x14ac:dyDescent="0.25">
      <c r="B19" s="3" t="s">
        <v>46</v>
      </c>
    </row>
    <row r="22" spans="1:8" x14ac:dyDescent="0.25">
      <c r="A22" s="2" t="s">
        <v>47</v>
      </c>
      <c r="B22" s="1" t="s">
        <v>48</v>
      </c>
      <c r="C22" s="1"/>
      <c r="D22" s="1"/>
      <c r="E22" s="1"/>
    </row>
    <row r="23" spans="1:8" ht="15.75" customHeight="1" x14ac:dyDescent="0.25">
      <c r="A23" s="2"/>
      <c r="B23" s="1"/>
      <c r="C23" s="1"/>
      <c r="D23" s="1"/>
      <c r="E23" s="1"/>
    </row>
    <row r="24" spans="1:8" ht="15.75" customHeight="1" x14ac:dyDescent="0.25">
      <c r="C24" s="1" t="s">
        <v>49</v>
      </c>
      <c r="D24" s="1" t="s">
        <v>50</v>
      </c>
      <c r="F24" s="2"/>
      <c r="G24" s="2" t="s">
        <v>51</v>
      </c>
      <c r="H24" s="2" t="s">
        <v>52</v>
      </c>
    </row>
    <row r="25" spans="1:8" ht="15.75" customHeight="1" x14ac:dyDescent="0.25">
      <c r="B25" s="3">
        <v>0</v>
      </c>
      <c r="C25" s="11"/>
      <c r="D25" s="11"/>
      <c r="E25" s="11"/>
      <c r="F25" s="11"/>
      <c r="H25" s="11"/>
    </row>
    <row r="26" spans="1:8" ht="15.75" customHeight="1" x14ac:dyDescent="0.25">
      <c r="B26" s="3">
        <v>1</v>
      </c>
      <c r="C26" s="11"/>
      <c r="D26" s="11">
        <v>5000</v>
      </c>
      <c r="E26" s="11"/>
      <c r="F26" s="11"/>
      <c r="G26" s="11"/>
      <c r="H26" s="11">
        <f>+D26/(1+$C$32)^B26</f>
        <v>4761.9047619047615</v>
      </c>
    </row>
    <row r="27" spans="1:8" ht="15.75" customHeight="1" x14ac:dyDescent="0.25">
      <c r="B27" s="3">
        <v>2</v>
      </c>
      <c r="C27" s="11"/>
      <c r="D27" s="11">
        <v>4000</v>
      </c>
      <c r="E27" s="11"/>
      <c r="F27" s="11"/>
      <c r="G27" s="11"/>
      <c r="H27" s="11">
        <f>+D27/(1+$C$32)^B27</f>
        <v>3628.1179138321995</v>
      </c>
    </row>
    <row r="28" spans="1:8" ht="15.75" customHeight="1" x14ac:dyDescent="0.25">
      <c r="B28" s="3">
        <v>3</v>
      </c>
      <c r="C28" s="11"/>
      <c r="D28" s="11">
        <v>4000</v>
      </c>
      <c r="E28" s="11"/>
      <c r="F28" s="11"/>
      <c r="G28" s="11"/>
      <c r="H28" s="11">
        <f>+D28/(1+$C$32)^B28</f>
        <v>3455.3503941259041</v>
      </c>
    </row>
    <row r="29" spans="1:8" ht="15.75" customHeight="1" x14ac:dyDescent="0.25">
      <c r="B29" s="3">
        <v>4</v>
      </c>
      <c r="C29" s="11">
        <v>18000</v>
      </c>
      <c r="D29" s="11">
        <v>4000</v>
      </c>
      <c r="E29" s="11"/>
      <c r="F29" s="11"/>
      <c r="G29" s="11">
        <f>+C29/(1+C32)^B29</f>
        <v>14808.644546253876</v>
      </c>
      <c r="H29" s="11">
        <f>+D29/(1+$C$32)^B29</f>
        <v>3290.8098991675279</v>
      </c>
    </row>
    <row r="30" spans="1:8" ht="15.75" customHeight="1" x14ac:dyDescent="0.25">
      <c r="C30" s="11">
        <f t="shared" ref="C30:D30" si="0">SUM(C25:C29)</f>
        <v>18000</v>
      </c>
      <c r="D30" s="11">
        <f t="shared" si="0"/>
        <v>17000</v>
      </c>
      <c r="G30" s="11">
        <f t="shared" ref="G30:H30" si="1">SUM(G26:G29)</f>
        <v>14808.644546253876</v>
      </c>
      <c r="H30" s="11">
        <f t="shared" si="1"/>
        <v>15136.182969030393</v>
      </c>
    </row>
    <row r="31" spans="1:8" ht="15.75" customHeight="1" x14ac:dyDescent="0.25"/>
    <row r="32" spans="1:8" ht="15.75" customHeight="1" x14ac:dyDescent="0.25">
      <c r="B32" s="3" t="s">
        <v>13</v>
      </c>
      <c r="C32" s="5">
        <v>0.05</v>
      </c>
      <c r="G32" s="12"/>
    </row>
    <row r="33" spans="1:8" ht="15.75" customHeight="1" x14ac:dyDescent="0.25">
      <c r="G33" s="12"/>
    </row>
    <row r="34" spans="1:8" ht="15.75" customHeight="1" x14ac:dyDescent="0.25"/>
    <row r="35" spans="1:8" ht="15.75" customHeight="1" x14ac:dyDescent="0.25">
      <c r="A35" s="2" t="s">
        <v>53</v>
      </c>
      <c r="B35" s="1" t="s">
        <v>54</v>
      </c>
      <c r="C35" s="1"/>
      <c r="D35" s="1"/>
    </row>
    <row r="36" spans="1:8" ht="15.75" customHeight="1" x14ac:dyDescent="0.25"/>
    <row r="37" spans="1:8" ht="15.75" customHeight="1" x14ac:dyDescent="0.25"/>
    <row r="38" spans="1:8" ht="15.75" customHeight="1" x14ac:dyDescent="0.25">
      <c r="D38" s="2" t="s">
        <v>55</v>
      </c>
      <c r="E38" s="2" t="s">
        <v>56</v>
      </c>
      <c r="F38" s="2" t="s">
        <v>57</v>
      </c>
      <c r="H38" s="2" t="s">
        <v>58</v>
      </c>
    </row>
    <row r="39" spans="1:8" ht="15.75" customHeight="1" x14ac:dyDescent="0.25">
      <c r="B39" s="3" t="s">
        <v>59</v>
      </c>
      <c r="D39" s="4">
        <v>75000</v>
      </c>
      <c r="E39" s="4">
        <v>100000</v>
      </c>
      <c r="F39" s="4">
        <v>125000</v>
      </c>
      <c r="H39" s="13">
        <f>+D39*$D$42+E39*$E$42+F39*$F$42</f>
        <v>100000</v>
      </c>
    </row>
    <row r="40" spans="1:8" ht="15.75" customHeight="1" x14ac:dyDescent="0.25">
      <c r="B40" s="3" t="s">
        <v>60</v>
      </c>
      <c r="D40" s="4">
        <v>0</v>
      </c>
      <c r="E40" s="4">
        <v>130000</v>
      </c>
      <c r="F40" s="4">
        <v>180000</v>
      </c>
      <c r="H40" s="13">
        <f>+D40*$D$42+E40*$E$42+F40*$F$42</f>
        <v>103333.33333333333</v>
      </c>
    </row>
    <row r="41" spans="1:8" ht="15.75" customHeight="1" x14ac:dyDescent="0.25"/>
    <row r="42" spans="1:8" ht="15.75" customHeight="1" x14ac:dyDescent="0.25">
      <c r="D42" s="5">
        <f t="shared" ref="D42:F42" si="2">1/3</f>
        <v>0.33333333333333331</v>
      </c>
      <c r="E42" s="5">
        <f t="shared" si="2"/>
        <v>0.33333333333333331</v>
      </c>
      <c r="F42" s="5">
        <f t="shared" si="2"/>
        <v>0.33333333333333331</v>
      </c>
    </row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="120" zoomScaleNormal="120" workbookViewId="0"/>
  </sheetViews>
  <sheetFormatPr baseColWidth="10" defaultRowHeight="15" x14ac:dyDescent="0.25"/>
  <cols>
    <col min="1" max="1" width="32.28515625" customWidth="1"/>
  </cols>
  <sheetData>
    <row r="1" spans="1:4" x14ac:dyDescent="0.25">
      <c r="A1" s="1" t="s">
        <v>1</v>
      </c>
    </row>
    <row r="3" spans="1:4" x14ac:dyDescent="0.25">
      <c r="A3" s="3" t="s">
        <v>3</v>
      </c>
      <c r="C3" s="4">
        <v>2000</v>
      </c>
    </row>
    <row r="4" spans="1:4" x14ac:dyDescent="0.25">
      <c r="A4" s="3" t="s">
        <v>5</v>
      </c>
      <c r="B4" s="5">
        <v>0.5</v>
      </c>
      <c r="C4" s="4">
        <f>+C3*B4</f>
        <v>1000</v>
      </c>
    </row>
    <row r="5" spans="1:4" x14ac:dyDescent="0.25">
      <c r="A5" s="3" t="s">
        <v>8</v>
      </c>
      <c r="B5" s="6"/>
      <c r="C5" s="4">
        <f>+C3-C4</f>
        <v>1000</v>
      </c>
    </row>
    <row r="6" spans="1:4" x14ac:dyDescent="0.25">
      <c r="A6" s="8" t="s">
        <v>9</v>
      </c>
      <c r="B6" s="5">
        <v>0.1</v>
      </c>
      <c r="C6" s="4">
        <f>+C3*B6</f>
        <v>200</v>
      </c>
    </row>
    <row r="7" spans="1:4" x14ac:dyDescent="0.25">
      <c r="A7" s="2" t="s">
        <v>11</v>
      </c>
      <c r="B7" s="2"/>
      <c r="C7" s="9">
        <f>+C5-C6</f>
        <v>800</v>
      </c>
    </row>
    <row r="9" spans="1:4" x14ac:dyDescent="0.25">
      <c r="A9" s="3" t="s">
        <v>14</v>
      </c>
      <c r="B9" s="6"/>
      <c r="C9" s="4">
        <v>200</v>
      </c>
    </row>
    <row r="10" spans="1:4" x14ac:dyDescent="0.25">
      <c r="A10" s="2" t="s">
        <v>15</v>
      </c>
      <c r="C10" s="4">
        <f>+C7-C9</f>
        <v>600</v>
      </c>
    </row>
    <row r="11" spans="1:4" x14ac:dyDescent="0.25">
      <c r="A11" s="3" t="s">
        <v>16</v>
      </c>
      <c r="C11" s="6">
        <v>100</v>
      </c>
    </row>
    <row r="13" spans="1:4" x14ac:dyDescent="0.25">
      <c r="A13" s="3" t="s">
        <v>18</v>
      </c>
      <c r="B13" s="6"/>
      <c r="C13" s="4">
        <f>+C10-C11</f>
        <v>500</v>
      </c>
    </row>
    <row r="14" spans="1:4" x14ac:dyDescent="0.25">
      <c r="A14" s="3" t="s">
        <v>20</v>
      </c>
      <c r="B14" s="5">
        <v>0.4</v>
      </c>
      <c r="C14" s="4">
        <f>+B14*C13</f>
        <v>200</v>
      </c>
    </row>
    <row r="15" spans="1:4" x14ac:dyDescent="0.25">
      <c r="A15" s="2" t="s">
        <v>21</v>
      </c>
      <c r="B15" s="2"/>
      <c r="C15" s="9">
        <f>+C13-C14</f>
        <v>300</v>
      </c>
      <c r="D15" s="1" t="s">
        <v>22</v>
      </c>
    </row>
    <row r="17" spans="1:5" x14ac:dyDescent="0.25">
      <c r="C17" s="4"/>
    </row>
    <row r="19" spans="1:5" x14ac:dyDescent="0.25">
      <c r="A19" s="1" t="s">
        <v>25</v>
      </c>
      <c r="C19" s="4"/>
    </row>
    <row r="20" spans="1:5" x14ac:dyDescent="0.25">
      <c r="C20" s="4"/>
    </row>
    <row r="21" spans="1:5" x14ac:dyDescent="0.25">
      <c r="A21" s="3" t="s">
        <v>27</v>
      </c>
      <c r="C21" s="4">
        <f>+(C5-C6-C11)-C14</f>
        <v>500</v>
      </c>
      <c r="D21" s="20"/>
      <c r="E21" s="20"/>
    </row>
    <row r="23" spans="1:5" x14ac:dyDescent="0.25">
      <c r="A23" s="3" t="s">
        <v>28</v>
      </c>
      <c r="C23" s="4">
        <f>+C15+C9</f>
        <v>500</v>
      </c>
    </row>
    <row r="25" spans="1:5" x14ac:dyDescent="0.25">
      <c r="A25" s="3" t="s">
        <v>29</v>
      </c>
      <c r="C25" s="6">
        <f>(C5-C6-C11)*(1-B14)+(B14*C9)</f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baseColWidth="10" defaultRowHeight="15" x14ac:dyDescent="0.25"/>
  <cols>
    <col min="4" max="4" width="16" customWidth="1"/>
    <col min="5" max="5" width="12.28515625" customWidth="1"/>
  </cols>
  <sheetData>
    <row r="1" spans="1:6" x14ac:dyDescent="0.25">
      <c r="A1" s="19" t="s">
        <v>0</v>
      </c>
    </row>
    <row r="3" spans="1:6" x14ac:dyDescent="0.25">
      <c r="A3" t="s">
        <v>2</v>
      </c>
    </row>
    <row r="4" spans="1:6" x14ac:dyDescent="0.25">
      <c r="A4" s="5">
        <v>0.1</v>
      </c>
      <c r="B4" t="s">
        <v>4</v>
      </c>
      <c r="F4" s="6">
        <v>300</v>
      </c>
    </row>
    <row r="5" spans="1:6" x14ac:dyDescent="0.25">
      <c r="A5" t="s">
        <v>6</v>
      </c>
      <c r="D5" s="7">
        <v>5.7500000000000002E-2</v>
      </c>
      <c r="E5" t="s">
        <v>7</v>
      </c>
    </row>
    <row r="7" spans="1:6" x14ac:dyDescent="0.25">
      <c r="A7" t="s">
        <v>10</v>
      </c>
      <c r="B7">
        <v>300</v>
      </c>
    </row>
    <row r="8" spans="1:6" x14ac:dyDescent="0.25">
      <c r="A8" t="s">
        <v>12</v>
      </c>
      <c r="B8" s="12">
        <v>0.1</v>
      </c>
    </row>
    <row r="9" spans="1:6" x14ac:dyDescent="0.25">
      <c r="A9" t="s">
        <v>13</v>
      </c>
      <c r="B9" s="14">
        <v>5.7500000000000002E-2</v>
      </c>
    </row>
    <row r="10" spans="1:6" x14ac:dyDescent="0.25">
      <c r="C10" s="16">
        <v>0</v>
      </c>
      <c r="D10" s="16">
        <v>1</v>
      </c>
      <c r="E10" s="16">
        <v>2</v>
      </c>
    </row>
    <row r="12" spans="1:6" x14ac:dyDescent="0.25">
      <c r="B12" t="s">
        <v>17</v>
      </c>
      <c r="C12" s="17">
        <v>270</v>
      </c>
      <c r="D12" s="17"/>
      <c r="E12" s="17"/>
    </row>
    <row r="13" spans="1:6" x14ac:dyDescent="0.25">
      <c r="C13" s="17"/>
      <c r="D13" s="17"/>
      <c r="E13" s="17"/>
    </row>
    <row r="14" spans="1:6" x14ac:dyDescent="0.25">
      <c r="B14" t="s">
        <v>19</v>
      </c>
      <c r="C14" s="17">
        <v>100</v>
      </c>
      <c r="D14" s="17">
        <v>100</v>
      </c>
      <c r="E14" s="17">
        <v>100</v>
      </c>
    </row>
    <row r="17" spans="1:3" x14ac:dyDescent="0.25">
      <c r="B17" t="s">
        <v>23</v>
      </c>
      <c r="C17" s="18">
        <v>270</v>
      </c>
    </row>
    <row r="19" spans="1:3" x14ac:dyDescent="0.25">
      <c r="B19" t="s">
        <v>24</v>
      </c>
      <c r="C19" s="18">
        <v>283.98359125686699</v>
      </c>
    </row>
    <row r="21" spans="1:3" x14ac:dyDescent="0.25">
      <c r="A21" t="s">
        <v>26</v>
      </c>
      <c r="C21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C69D-0E37-48C0-9259-B17D8C6F597D}">
  <dimension ref="C3:G21"/>
  <sheetViews>
    <sheetView zoomScale="130" zoomScaleNormal="130" workbookViewId="0"/>
  </sheetViews>
  <sheetFormatPr baseColWidth="10" defaultRowHeight="15" x14ac:dyDescent="0.25"/>
  <sheetData>
    <row r="3" spans="3:7" x14ac:dyDescent="0.25">
      <c r="G3" s="21" t="s">
        <v>70</v>
      </c>
    </row>
    <row r="4" spans="3:7" x14ac:dyDescent="0.25">
      <c r="D4" s="21" t="s">
        <v>61</v>
      </c>
    </row>
    <row r="6" spans="3:7" x14ac:dyDescent="0.25">
      <c r="D6" s="21" t="s">
        <v>62</v>
      </c>
      <c r="G6" s="21" t="s">
        <v>64</v>
      </c>
    </row>
    <row r="7" spans="3:7" x14ac:dyDescent="0.25">
      <c r="D7" s="21" t="s">
        <v>66</v>
      </c>
      <c r="G7" s="21" t="s">
        <v>67</v>
      </c>
    </row>
    <row r="10" spans="3:7" x14ac:dyDescent="0.25">
      <c r="D10" s="21" t="s">
        <v>63</v>
      </c>
      <c r="G10" s="21" t="s">
        <v>65</v>
      </c>
    </row>
    <row r="11" spans="3:7" x14ac:dyDescent="0.25">
      <c r="D11" s="22" t="s">
        <v>74</v>
      </c>
      <c r="G11" s="21" t="s">
        <v>68</v>
      </c>
    </row>
    <row r="12" spans="3:7" x14ac:dyDescent="0.25">
      <c r="G12" s="21" t="s">
        <v>69</v>
      </c>
    </row>
    <row r="15" spans="3:7" x14ac:dyDescent="0.25">
      <c r="C15" s="22" t="s">
        <v>75</v>
      </c>
      <c r="G15" s="21" t="s">
        <v>71</v>
      </c>
    </row>
    <row r="17" spans="3:5" x14ac:dyDescent="0.25">
      <c r="C17" s="22" t="s">
        <v>76</v>
      </c>
    </row>
    <row r="19" spans="3:5" x14ac:dyDescent="0.25">
      <c r="C19" s="21" t="s">
        <v>72</v>
      </c>
    </row>
    <row r="21" spans="3:5" x14ac:dyDescent="0.25">
      <c r="E21" s="2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983DF3B95FAF458D1DD2EC26AAFCA8" ma:contentTypeVersion="6" ma:contentTypeDescription="Crear nuevo documento." ma:contentTypeScope="" ma:versionID="da212ae7e50cb37e8927b630058ddaa4">
  <xsd:schema xmlns:xsd="http://www.w3.org/2001/XMLSchema" xmlns:xs="http://www.w3.org/2001/XMLSchema" xmlns:p="http://schemas.microsoft.com/office/2006/metadata/properties" xmlns:ns2="a8488ad7-b8f4-4ec3-9cfc-e6f0ec25ec07" targetNamespace="http://schemas.microsoft.com/office/2006/metadata/properties" ma:root="true" ma:fieldsID="e343c3d82935651d9b28ea24a163adf9" ns2:_="">
    <xsd:import namespace="a8488ad7-b8f4-4ec3-9cfc-e6f0ec25ec07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88ad7-b8f4-4ec3-9cfc-e6f0ec25ec07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a8488ad7-b8f4-4ec3-9cfc-e6f0ec25ec07" xsi:nil="true"/>
    <Nro xmlns="a8488ad7-b8f4-4ec3-9cfc-e6f0ec25ec07">0</Nro>
  </documentManagement>
</p:properties>
</file>

<file path=customXml/itemProps1.xml><?xml version="1.0" encoding="utf-8"?>
<ds:datastoreItem xmlns:ds="http://schemas.openxmlformats.org/officeDocument/2006/customXml" ds:itemID="{22B3E020-0C4F-417A-9999-4DA12286C76F}"/>
</file>

<file path=customXml/itemProps2.xml><?xml version="1.0" encoding="utf-8"?>
<ds:datastoreItem xmlns:ds="http://schemas.openxmlformats.org/officeDocument/2006/customXml" ds:itemID="{B4650D11-7B09-41C0-A128-726A27DD4E9B}"/>
</file>

<file path=customXml/itemProps3.xml><?xml version="1.0" encoding="utf-8"?>
<ds:datastoreItem xmlns:ds="http://schemas.openxmlformats.org/officeDocument/2006/customXml" ds:itemID="{CBD56E2C-ACD3-4CF9-825B-5CDB775FD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PEREZ RODRIGUEZ MIGUEL SECUNDINO</cp:lastModifiedBy>
  <dcterms:created xsi:type="dcterms:W3CDTF">2019-08-22T14:57:55Z</dcterms:created>
  <dcterms:modified xsi:type="dcterms:W3CDTF">2024-08-28T15:07:03Z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0x010100F5983DF3B95FAF458D1DD2EC26AAFCA8</vt:lpwstr>
  </property>
</Properties>
</file>