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FINANZAS CORPORATIVAS\CLASES\"/>
    </mc:Choice>
  </mc:AlternateContent>
  <xr:revisionPtr revIDLastSave="0" documentId="13_ncr:1_{5739CFF7-DB0C-458E-9933-4D0FD8CF4E66}" xr6:coauthVersionLast="47" xr6:coauthVersionMax="47" xr10:uidLastSave="{00000000-0000-0000-0000-000000000000}"/>
  <bookViews>
    <workbookView xWindow="-120" yWindow="-120" windowWidth="20730" windowHeight="11040" xr2:uid="{B370BCFE-14C8-4FE5-A66B-CA3C6972347C}"/>
  </bookViews>
  <sheets>
    <sheet name="AMPLIACIÓN" sheetId="1" r:id="rId1"/>
    <sheet name="ABANDONO" sheetId="2" r:id="rId2"/>
    <sheet name="ELECCION DEL MOMENTO" sheetId="3" r:id="rId3"/>
    <sheet name="FLEXIBILIDAD" sheetId="4" r:id="rId4"/>
    <sheet name="Presupuesto Optimo de Capita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F41" i="1" s="1"/>
  <c r="E46" i="1" s="1"/>
  <c r="E27" i="4"/>
  <c r="E26" i="4"/>
  <c r="E11" i="4"/>
  <c r="E10" i="4"/>
  <c r="E27" i="3"/>
  <c r="E11" i="3"/>
  <c r="E10" i="3"/>
  <c r="F30" i="2"/>
  <c r="E35" i="2" s="1"/>
  <c r="F29" i="2"/>
  <c r="L19" i="2"/>
  <c r="L20" i="2"/>
  <c r="L18" i="2"/>
  <c r="L17" i="2"/>
  <c r="L8" i="2"/>
  <c r="L7" i="2"/>
  <c r="L6" i="2"/>
  <c r="J57" i="1"/>
  <c r="H57" i="1"/>
  <c r="F57" i="1"/>
  <c r="E51" i="1"/>
  <c r="F40" i="1"/>
  <c r="F32" i="1"/>
  <c r="F31" i="1"/>
  <c r="E31" i="1"/>
  <c r="H26" i="1"/>
  <c r="G26" i="1"/>
  <c r="F26" i="1"/>
  <c r="I26" i="1"/>
  <c r="E32" i="1"/>
  <c r="E11" i="1"/>
  <c r="E10" i="1"/>
  <c r="E29" i="4" l="1"/>
  <c r="F35" i="4" s="1"/>
  <c r="E46" i="4" s="1"/>
  <c r="E13" i="4"/>
  <c r="F36" i="4" s="1"/>
  <c r="E26" i="3"/>
  <c r="E29" i="3" s="1"/>
  <c r="F35" i="3" s="1"/>
  <c r="E13" i="3"/>
  <c r="F11" i="3" s="1"/>
  <c r="E40" i="2"/>
  <c r="L22" i="2"/>
  <c r="L10" i="2"/>
  <c r="M7" i="2" s="1"/>
  <c r="E34" i="1"/>
  <c r="F10" i="1"/>
  <c r="F27" i="4" l="1"/>
  <c r="F26" i="4"/>
  <c r="E30" i="4" s="1"/>
  <c r="E31" i="4" s="1"/>
  <c r="F10" i="4"/>
  <c r="F11" i="4"/>
  <c r="F10" i="3"/>
  <c r="F36" i="3"/>
  <c r="E14" i="3"/>
  <c r="E15" i="3" s="1"/>
  <c r="F27" i="3"/>
  <c r="F26" i="3"/>
  <c r="E46" i="3"/>
  <c r="M19" i="2"/>
  <c r="M18" i="2"/>
  <c r="M17" i="2"/>
  <c r="M20" i="2"/>
  <c r="M8" i="2"/>
  <c r="M6" i="2"/>
  <c r="L11" i="2" s="1"/>
  <c r="L12" i="2" s="1"/>
  <c r="F11" i="1"/>
  <c r="E14" i="1" s="1"/>
  <c r="E15" i="1" s="1"/>
  <c r="E14" i="4" l="1"/>
  <c r="E15" i="4" s="1"/>
  <c r="E30" i="3"/>
  <c r="E31" i="3" s="1"/>
  <c r="L23" i="2"/>
  <c r="L24" i="2" s="1"/>
  <c r="E35" i="1"/>
  <c r="E36" i="1" s="1"/>
</calcChain>
</file>

<file path=xl/sharedStrings.xml><?xml version="1.0" encoding="utf-8"?>
<sst xmlns="http://schemas.openxmlformats.org/spreadsheetml/2006/main" count="172" uniqueCount="64">
  <si>
    <t>Proyecto sin la opción de Crecimiento</t>
  </si>
  <si>
    <t>Resultado</t>
  </si>
  <si>
    <t>Bueno</t>
  </si>
  <si>
    <t>Malo</t>
  </si>
  <si>
    <t>Probabilidad</t>
  </si>
  <si>
    <t>WACC</t>
  </si>
  <si>
    <t>Proyecto Riesgoso</t>
  </si>
  <si>
    <t>NPV</t>
  </si>
  <si>
    <t>Promedio</t>
  </si>
  <si>
    <t>Desvío</t>
  </si>
  <si>
    <t>CV</t>
  </si>
  <si>
    <r>
      <t xml:space="preserve">Proyecto </t>
    </r>
    <r>
      <rPr>
        <b/>
        <sz val="11"/>
        <color theme="1"/>
        <rFont val="Aptos Narrow"/>
        <family val="2"/>
        <scheme val="minor"/>
      </rPr>
      <t>con la opción</t>
    </r>
    <r>
      <rPr>
        <sz val="11"/>
        <color theme="1"/>
        <rFont val="Aptos Narrow"/>
        <family val="2"/>
        <scheme val="minor"/>
      </rPr>
      <t xml:space="preserve"> de Crecimiento</t>
    </r>
  </si>
  <si>
    <t>Implica invertir $ 1,000,000 más en el 2do año y obtener $ 5,000,000 en el 3ro</t>
  </si>
  <si>
    <t>Cuánto vale la Opción Real</t>
  </si>
  <si>
    <t>NPV con opción de Crecimiento</t>
  </si>
  <si>
    <t>Caso 1: Si el NPV esperado sin la opción de Crecimiento es positivo, entonces</t>
  </si>
  <si>
    <t>Valor de la Opción</t>
  </si>
  <si>
    <t>NPV sin opción de Crecimiento</t>
  </si>
  <si>
    <t>NPV con opción de Crecimiento - NPV sin opción de Crecimiento</t>
  </si>
  <si>
    <t>Caso 2: Si el NPV esperado sin la opción de Crecimiento es negativo, entonces</t>
  </si>
  <si>
    <t>Los 5,000,000 son el VA de los flujos futuros adicionales esperados</t>
  </si>
  <si>
    <t>Proyecto se vuelve mucho menos riesgoso</t>
  </si>
  <si>
    <t>NPV con opción de Crecimiento - $ CERO</t>
  </si>
  <si>
    <t>Cuáles son los costos requeridos para obtener la Opción?</t>
  </si>
  <si>
    <t xml:space="preserve">Si la opción tuviera en costo de </t>
  </si>
  <si>
    <t>El NPV del proyecto sería de</t>
  </si>
  <si>
    <t xml:space="preserve"> -</t>
  </si>
  <si>
    <t>=</t>
  </si>
  <si>
    <t>Asumiendo que no se puede abandonar el proyecto</t>
  </si>
  <si>
    <t>Mejor caso</t>
  </si>
  <si>
    <t>Caso Base</t>
  </si>
  <si>
    <t>Peor caso</t>
  </si>
  <si>
    <t>Se puede Abandonar</t>
  </si>
  <si>
    <t>Se cierra la operación al final del año 1 y se vende el equipo en 200,000 en el año 2</t>
  </si>
  <si>
    <t>Valor de la Opción de Abandono</t>
  </si>
  <si>
    <t>NPV con opción de Abandono</t>
  </si>
  <si>
    <t>NPV sin opción de Abandono</t>
  </si>
  <si>
    <t>Caso 1: Si el NPV esperado sin la opción de Abandono es positivo, entonces</t>
  </si>
  <si>
    <t>NPV con opción de Abandono - NPV sin opción de Abandono</t>
  </si>
  <si>
    <t>NPV con opción de Abandono - $ CERO</t>
  </si>
  <si>
    <t>Caso 2: Si el NPV esperado sin la opción de Abandono es negativo, entonces</t>
  </si>
  <si>
    <t>Si la opción tuviera en costo inferior a $ 200,000, debiera tomarse</t>
  </si>
  <si>
    <t>Negativo</t>
  </si>
  <si>
    <t>Proyecto sin la opción de Aplazar</t>
  </si>
  <si>
    <r>
      <t xml:space="preserve">Proyecto </t>
    </r>
    <r>
      <rPr>
        <b/>
        <sz val="11"/>
        <color theme="1"/>
        <rFont val="Aptos Narrow"/>
        <family val="2"/>
        <scheme val="minor"/>
      </rPr>
      <t>con la opción</t>
    </r>
    <r>
      <rPr>
        <sz val="11"/>
        <color theme="1"/>
        <rFont val="Aptos Narrow"/>
        <family val="2"/>
        <scheme val="minor"/>
      </rPr>
      <t xml:space="preserve"> de Aplazar</t>
    </r>
  </si>
  <si>
    <t>Ojo con el momento de valuación</t>
  </si>
  <si>
    <t>NPV con opción de Aplazar</t>
  </si>
  <si>
    <t>NPV sin opción de Aplazar</t>
  </si>
  <si>
    <t>Caso 1: Si el NPV esperado sin la opción de Aplazar es positivo, entonces</t>
  </si>
  <si>
    <t>No es el Caso</t>
  </si>
  <si>
    <t>Proyecto sin la opción de Flexibilidad</t>
  </si>
  <si>
    <r>
      <t xml:space="preserve">Proyecto </t>
    </r>
    <r>
      <rPr>
        <b/>
        <sz val="11"/>
        <color theme="1"/>
        <rFont val="Aptos Narrow"/>
        <family val="2"/>
        <scheme val="minor"/>
      </rPr>
      <t>con la opción</t>
    </r>
    <r>
      <rPr>
        <sz val="11"/>
        <color theme="1"/>
        <rFont val="Aptos Narrow"/>
        <family val="2"/>
        <scheme val="minor"/>
      </rPr>
      <t xml:space="preserve"> de Flexibilidad</t>
    </r>
  </si>
  <si>
    <t>NPV con opción de Flexibilidad</t>
  </si>
  <si>
    <t>NPV sin opción de Flexibilidad</t>
  </si>
  <si>
    <t>NPV con opción de Flexibilidad - NPV sin opción de Flexibilidad</t>
  </si>
  <si>
    <t>Caso 2: Si el NPV esperado sin la opción de Flexibilidad es negativo, entonces</t>
  </si>
  <si>
    <t>NPV con opción de Flexibilidad - $ CERO</t>
  </si>
  <si>
    <t>Caso 2: Si el NPV esperado sin la opción de Aplazar es negativo, entonces</t>
  </si>
  <si>
    <t>NPV con opción de Aplazar - $ CERO</t>
  </si>
  <si>
    <t>Demanda</t>
  </si>
  <si>
    <t>Fuerte</t>
  </si>
  <si>
    <t>Débil</t>
  </si>
  <si>
    <t>Cambio de Producto</t>
  </si>
  <si>
    <t>Ya está neto de los 100,000 adicionales que hubo que invertir en el momento 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</si>
</sst>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9" fontId="0" fillId="0" borderId="0" xfId="0" applyNumberFormat="1"/>
    <xf numFmtId="164" fontId="0" fillId="0" borderId="0" xfId="2" applyNumberFormat="1" applyFont="1"/>
    <xf numFmtId="164" fontId="0" fillId="0" borderId="0" xfId="0" applyNumberFormat="1"/>
    <xf numFmtId="43" fontId="0" fillId="0" borderId="0" xfId="1" applyFont="1"/>
    <xf numFmtId="164" fontId="0" fillId="2" borderId="0" xfId="2" applyNumberFormat="1" applyFont="1" applyFill="1"/>
    <xf numFmtId="164" fontId="0" fillId="0" borderId="1" xfId="2" applyNumberFormat="1" applyFont="1" applyBorder="1"/>
    <xf numFmtId="0" fontId="2" fillId="0" borderId="0" xfId="0" applyFont="1"/>
    <xf numFmtId="0" fontId="4" fillId="0" borderId="0" xfId="0" applyFont="1"/>
    <xf numFmtId="0" fontId="0" fillId="0" borderId="0" xfId="0" quotePrefix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4</xdr:row>
      <xdr:rowOff>0</xdr:rowOff>
    </xdr:from>
    <xdr:to>
      <xdr:col>12</xdr:col>
      <xdr:colOff>323850</xdr:colOff>
      <xdr:row>12</xdr:row>
      <xdr:rowOff>123825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BDE69548-FB27-2D5C-78A6-DFD020EF6CDF}"/>
            </a:ext>
          </a:extLst>
        </xdr:cNvPr>
        <xdr:cNvCxnSpPr/>
      </xdr:nvCxnSpPr>
      <xdr:spPr>
        <a:xfrm>
          <a:off x="3086100" y="762000"/>
          <a:ext cx="6381750" cy="1647825"/>
        </a:xfrm>
        <a:prstGeom prst="line">
          <a:avLst/>
        </a:prstGeom>
        <a:ln w="19050" cap="flat" cmpd="sng" algn="ctr">
          <a:solidFill>
            <a:schemeClr val="accent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752475</xdr:colOff>
      <xdr:row>10</xdr:row>
      <xdr:rowOff>9525</xdr:rowOff>
    </xdr:from>
    <xdr:to>
      <xdr:col>5</xdr:col>
      <xdr:colOff>0</xdr:colOff>
      <xdr:row>10</xdr:row>
      <xdr:rowOff>9525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E4570A92-0D44-2DDA-459D-F9C4E90FEC46}"/>
            </a:ext>
          </a:extLst>
        </xdr:cNvPr>
        <xdr:cNvCxnSpPr/>
      </xdr:nvCxnSpPr>
      <xdr:spPr>
        <a:xfrm>
          <a:off x="3038475" y="1914525"/>
          <a:ext cx="77152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4</xdr:row>
      <xdr:rowOff>114300</xdr:rowOff>
    </xdr:from>
    <xdr:to>
      <xdr:col>11</xdr:col>
      <xdr:colOff>600075</xdr:colOff>
      <xdr:row>10</xdr:row>
      <xdr:rowOff>9525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FF74DFDC-4922-4A5B-AE82-FAD4C20763D7}"/>
            </a:ext>
          </a:extLst>
        </xdr:cNvPr>
        <xdr:cNvCxnSpPr/>
      </xdr:nvCxnSpPr>
      <xdr:spPr>
        <a:xfrm flipV="1">
          <a:off x="3819525" y="876300"/>
          <a:ext cx="5162550" cy="1038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638175</xdr:colOff>
      <xdr:row>6</xdr:row>
      <xdr:rowOff>9525</xdr:rowOff>
    </xdr:from>
    <xdr:to>
      <xdr:col>8</xdr:col>
      <xdr:colOff>9525</xdr:colOff>
      <xdr:row>7</xdr:row>
      <xdr:rowOff>123825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FECCAE0E-0769-5B89-9636-B42C33F2439A}"/>
            </a:ext>
          </a:extLst>
        </xdr:cNvPr>
        <xdr:cNvCxnSpPr/>
      </xdr:nvCxnSpPr>
      <xdr:spPr>
        <a:xfrm flipH="1">
          <a:off x="5972175" y="1152525"/>
          <a:ext cx="133350" cy="304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740C-58D2-4423-8D62-779FC0887572}">
  <dimension ref="A2:J57"/>
  <sheetViews>
    <sheetView tabSelected="1" workbookViewId="0"/>
  </sheetViews>
  <sheetFormatPr baseColWidth="10" defaultRowHeight="15" x14ac:dyDescent="0.25"/>
  <cols>
    <col min="5" max="5" width="13" bestFit="1" customWidth="1"/>
    <col min="6" max="6" width="14.5703125" bestFit="1" customWidth="1"/>
    <col min="7" max="10" width="12" bestFit="1" customWidth="1"/>
  </cols>
  <sheetData>
    <row r="2" spans="1:9" x14ac:dyDescent="0.25">
      <c r="A2" t="s">
        <v>0</v>
      </c>
    </row>
    <row r="4" spans="1:9" x14ac:dyDescent="0.25">
      <c r="C4" t="s">
        <v>1</v>
      </c>
      <c r="D4" t="s">
        <v>4</v>
      </c>
      <c r="F4">
        <v>0</v>
      </c>
      <c r="G4">
        <v>1</v>
      </c>
      <c r="H4">
        <v>2</v>
      </c>
      <c r="I4">
        <v>3</v>
      </c>
    </row>
    <row r="5" spans="1:9" x14ac:dyDescent="0.25">
      <c r="C5" t="s">
        <v>2</v>
      </c>
      <c r="D5" s="1">
        <v>0.5</v>
      </c>
      <c r="F5" s="2">
        <v>-3000000</v>
      </c>
      <c r="G5" s="2">
        <v>1500000</v>
      </c>
      <c r="H5" s="2">
        <v>1500000</v>
      </c>
      <c r="I5" s="2">
        <v>1500000</v>
      </c>
    </row>
    <row r="6" spans="1:9" x14ac:dyDescent="0.25">
      <c r="C6" t="s">
        <v>3</v>
      </c>
      <c r="D6" s="1">
        <v>0.5</v>
      </c>
      <c r="F6" s="2">
        <v>-3000000</v>
      </c>
      <c r="G6" s="2">
        <v>1100000</v>
      </c>
      <c r="H6" s="2">
        <v>1100000</v>
      </c>
      <c r="I6" s="2">
        <v>1100000</v>
      </c>
    </row>
    <row r="8" spans="1:9" x14ac:dyDescent="0.25">
      <c r="C8" t="s">
        <v>5</v>
      </c>
      <c r="D8" s="1">
        <v>0.12</v>
      </c>
      <c r="E8" t="s">
        <v>6</v>
      </c>
    </row>
    <row r="10" spans="1:9" x14ac:dyDescent="0.25">
      <c r="C10" t="s">
        <v>7</v>
      </c>
      <c r="D10" t="s">
        <v>2</v>
      </c>
      <c r="E10" s="3">
        <f>+NPV($D$8,G5:I5)+F5</f>
        <v>602746.90233236039</v>
      </c>
      <c r="F10">
        <f>+(E10-$E$13)^2*D5</f>
        <v>115375868820.13699</v>
      </c>
    </row>
    <row r="11" spans="1:9" x14ac:dyDescent="0.25">
      <c r="D11" t="s">
        <v>3</v>
      </c>
      <c r="E11" s="3">
        <f>+NPV($D$8,G6:I6)+F6</f>
        <v>-357985.6049562688</v>
      </c>
      <c r="F11">
        <f>+(E11-$E$13)^2*D6</f>
        <v>115375868820.13699</v>
      </c>
    </row>
    <row r="13" spans="1:9" x14ac:dyDescent="0.25">
      <c r="D13" t="s">
        <v>8</v>
      </c>
      <c r="E13" s="3">
        <f>+SUMPRODUCT(D5:D6,E10:E11)</f>
        <v>122380.6486880458</v>
      </c>
    </row>
    <row r="14" spans="1:9" x14ac:dyDescent="0.25">
      <c r="D14" t="s">
        <v>9</v>
      </c>
      <c r="E14" s="2">
        <f>+SUM(F10:F11)^0.5</f>
        <v>480366.25364431459</v>
      </c>
    </row>
    <row r="15" spans="1:9" x14ac:dyDescent="0.25">
      <c r="D15" t="s">
        <v>10</v>
      </c>
      <c r="E15" s="4">
        <f>+E14/E13</f>
        <v>3.9251814628699302</v>
      </c>
    </row>
    <row r="17" spans="1:10" x14ac:dyDescent="0.25">
      <c r="A17" t="s">
        <v>11</v>
      </c>
    </row>
    <row r="19" spans="1:10" x14ac:dyDescent="0.25">
      <c r="C19" t="s">
        <v>12</v>
      </c>
    </row>
    <row r="23" spans="1:10" x14ac:dyDescent="0.25">
      <c r="C23" t="s">
        <v>1</v>
      </c>
      <c r="D23" t="s">
        <v>4</v>
      </c>
      <c r="F23">
        <v>0</v>
      </c>
      <c r="G23">
        <v>1</v>
      </c>
      <c r="H23">
        <v>2</v>
      </c>
      <c r="I23">
        <v>3</v>
      </c>
    </row>
    <row r="24" spans="1:10" x14ac:dyDescent="0.25">
      <c r="F24" s="2">
        <v>-3000000</v>
      </c>
      <c r="G24" s="2">
        <v>1500000</v>
      </c>
      <c r="H24" s="2">
        <v>1500000</v>
      </c>
      <c r="I24" s="2">
        <v>1500000</v>
      </c>
    </row>
    <row r="25" spans="1:10" x14ac:dyDescent="0.25">
      <c r="H25" s="5">
        <v>-1000000</v>
      </c>
      <c r="I25" s="5">
        <v>5000000</v>
      </c>
      <c r="J25" t="s">
        <v>20</v>
      </c>
    </row>
    <row r="26" spans="1:10" x14ac:dyDescent="0.25">
      <c r="C26" t="s">
        <v>2</v>
      </c>
      <c r="D26" s="1">
        <v>0.5</v>
      </c>
      <c r="F26" s="6">
        <f t="shared" ref="F26:H26" si="0">+F25+F24</f>
        <v>-3000000</v>
      </c>
      <c r="G26" s="6">
        <f t="shared" si="0"/>
        <v>1500000</v>
      </c>
      <c r="H26" s="6">
        <f t="shared" si="0"/>
        <v>500000</v>
      </c>
      <c r="I26" s="6">
        <f>+I25+I24</f>
        <v>6500000</v>
      </c>
    </row>
    <row r="27" spans="1:10" x14ac:dyDescent="0.25">
      <c r="C27" t="s">
        <v>3</v>
      </c>
      <c r="D27" s="1">
        <v>0.5</v>
      </c>
      <c r="F27" s="2">
        <v>-3000000</v>
      </c>
      <c r="G27" s="2">
        <v>1100000</v>
      </c>
      <c r="H27" s="2">
        <v>1100000</v>
      </c>
      <c r="I27" s="2">
        <v>1100000</v>
      </c>
    </row>
    <row r="29" spans="1:10" x14ac:dyDescent="0.25">
      <c r="C29" t="s">
        <v>5</v>
      </c>
      <c r="D29" s="1">
        <v>0.12</v>
      </c>
      <c r="E29" t="s">
        <v>6</v>
      </c>
    </row>
    <row r="31" spans="1:10" x14ac:dyDescent="0.25">
      <c r="C31" t="s">
        <v>7</v>
      </c>
      <c r="D31" t="s">
        <v>2</v>
      </c>
      <c r="E31" s="3">
        <f>+NPV($D$8,G26:I26)+F26</f>
        <v>3364454.2638483951</v>
      </c>
      <c r="F31">
        <f>+(E31-$E$34)^2*D26</f>
        <v>1732069822108.3103</v>
      </c>
    </row>
    <row r="32" spans="1:10" x14ac:dyDescent="0.25">
      <c r="D32" t="s">
        <v>3</v>
      </c>
      <c r="E32" s="3">
        <f>+NPV($D$8,G27:I27)+F27</f>
        <v>-357985.6049562688</v>
      </c>
      <c r="F32">
        <f>+(E32-$E$34)^2*D27</f>
        <v>1732069822108.3103</v>
      </c>
    </row>
    <row r="34" spans="1:6" x14ac:dyDescent="0.25">
      <c r="D34" t="s">
        <v>8</v>
      </c>
      <c r="E34" s="3">
        <f>+SUMPRODUCT(D26:D27,E31:E32)</f>
        <v>1503234.3294460631</v>
      </c>
    </row>
    <row r="35" spans="1:6" x14ac:dyDescent="0.25">
      <c r="D35" t="s">
        <v>9</v>
      </c>
      <c r="E35" s="2">
        <f>+SUM(F31:F32)^0.5</f>
        <v>1861219.9344023319</v>
      </c>
    </row>
    <row r="36" spans="1:6" x14ac:dyDescent="0.25">
      <c r="D36" t="s">
        <v>10</v>
      </c>
      <c r="E36" s="4">
        <f>+E35/E34</f>
        <v>1.2381435801084886</v>
      </c>
      <c r="F36" t="s">
        <v>21</v>
      </c>
    </row>
    <row r="38" spans="1:6" x14ac:dyDescent="0.25">
      <c r="A38" t="s">
        <v>13</v>
      </c>
    </row>
    <row r="40" spans="1:6" x14ac:dyDescent="0.25">
      <c r="C40" t="s">
        <v>14</v>
      </c>
      <c r="F40" s="3">
        <f>+E34</f>
        <v>1503234.3294460631</v>
      </c>
    </row>
    <row r="41" spans="1:6" x14ac:dyDescent="0.25">
      <c r="C41" t="s">
        <v>17</v>
      </c>
      <c r="F41" s="3">
        <f>+E13</f>
        <v>122380.6486880458</v>
      </c>
    </row>
    <row r="43" spans="1:6" x14ac:dyDescent="0.25">
      <c r="C43" t="s">
        <v>15</v>
      </c>
    </row>
    <row r="45" spans="1:6" x14ac:dyDescent="0.25">
      <c r="C45" t="s">
        <v>16</v>
      </c>
      <c r="F45" t="s">
        <v>18</v>
      </c>
    </row>
    <row r="46" spans="1:6" x14ac:dyDescent="0.25">
      <c r="C46" t="s">
        <v>16</v>
      </c>
      <c r="E46" s="3">
        <f>+F40-F41</f>
        <v>1380853.6807580173</v>
      </c>
    </row>
    <row r="48" spans="1:6" x14ac:dyDescent="0.25">
      <c r="C48" t="s">
        <v>19</v>
      </c>
    </row>
    <row r="50" spans="3:10" x14ac:dyDescent="0.25">
      <c r="C50" t="s">
        <v>16</v>
      </c>
      <c r="F50" t="s">
        <v>22</v>
      </c>
    </row>
    <row r="51" spans="3:10" x14ac:dyDescent="0.25">
      <c r="C51" t="s">
        <v>16</v>
      </c>
      <c r="E51" s="3">
        <f>+F40</f>
        <v>1503234.3294460631</v>
      </c>
    </row>
    <row r="53" spans="3:10" x14ac:dyDescent="0.25">
      <c r="C53" s="8" t="s">
        <v>23</v>
      </c>
    </row>
    <row r="55" spans="3:10" x14ac:dyDescent="0.25">
      <c r="C55" t="s">
        <v>24</v>
      </c>
      <c r="F55" s="3">
        <v>300000</v>
      </c>
    </row>
    <row r="57" spans="3:10" x14ac:dyDescent="0.25">
      <c r="C57" t="s">
        <v>25</v>
      </c>
      <c r="F57" s="3">
        <f>+F40</f>
        <v>1503234.3294460631</v>
      </c>
      <c r="G57" s="9" t="s">
        <v>26</v>
      </c>
      <c r="H57" s="3">
        <f>+F55</f>
        <v>300000</v>
      </c>
      <c r="I57" s="9" t="s">
        <v>27</v>
      </c>
      <c r="J57" s="3">
        <f>+F57-H57</f>
        <v>1203234.3294460631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B5A18-3CCF-4546-8E9C-481035837A94}">
  <dimension ref="A3:M46"/>
  <sheetViews>
    <sheetView workbookViewId="0"/>
  </sheetViews>
  <sheetFormatPr baseColWidth="10" defaultRowHeight="15" x14ac:dyDescent="0.25"/>
  <cols>
    <col min="5" max="5" width="14.5703125" bestFit="1" customWidth="1"/>
    <col min="9" max="9" width="12" bestFit="1" customWidth="1"/>
    <col min="12" max="13" width="12" bestFit="1" customWidth="1"/>
  </cols>
  <sheetData>
    <row r="3" spans="2:13" x14ac:dyDescent="0.25">
      <c r="B3" t="s">
        <v>28</v>
      </c>
    </row>
    <row r="5" spans="2:13" x14ac:dyDescent="0.25">
      <c r="B5" t="s">
        <v>1</v>
      </c>
      <c r="C5" t="s">
        <v>4</v>
      </c>
      <c r="E5">
        <v>0</v>
      </c>
      <c r="F5">
        <v>1</v>
      </c>
      <c r="G5">
        <v>2</v>
      </c>
      <c r="H5">
        <v>3</v>
      </c>
      <c r="I5">
        <v>4</v>
      </c>
    </row>
    <row r="6" spans="2:13" x14ac:dyDescent="0.25">
      <c r="B6" t="s">
        <v>29</v>
      </c>
      <c r="C6" s="1">
        <v>0.25</v>
      </c>
      <c r="E6" s="2">
        <v>-1000000</v>
      </c>
      <c r="F6" s="2">
        <v>400000</v>
      </c>
      <c r="G6" s="2">
        <v>600000</v>
      </c>
      <c r="H6" s="2">
        <v>800000</v>
      </c>
      <c r="I6" s="2">
        <v>1300000</v>
      </c>
      <c r="K6" t="s">
        <v>7</v>
      </c>
      <c r="L6" s="3">
        <f>+NPV($C$10,F6:I6)+E6</f>
        <v>1348473.4649272584</v>
      </c>
      <c r="M6">
        <f>+(L6-$L$10)^2*C6</f>
        <v>445098860273.02008</v>
      </c>
    </row>
    <row r="7" spans="2:13" x14ac:dyDescent="0.25">
      <c r="B7" t="s">
        <v>30</v>
      </c>
      <c r="C7" s="1">
        <v>0.5</v>
      </c>
      <c r="E7" s="2">
        <v>-1000000</v>
      </c>
      <c r="F7" s="2">
        <v>200000</v>
      </c>
      <c r="G7" s="2">
        <v>400000</v>
      </c>
      <c r="H7" s="2">
        <v>500000</v>
      </c>
      <c r="I7" s="2">
        <v>600000</v>
      </c>
      <c r="K7" t="s">
        <v>7</v>
      </c>
      <c r="L7" s="3">
        <f t="shared" ref="L7:L8" si="0">+NPV($C$10,F7:I7)+E7</f>
        <v>297862.16788470699</v>
      </c>
      <c r="M7">
        <f t="shared" ref="M7:M8" si="1">+(L7-$L$10)^2*C7</f>
        <v>40243780918.972046</v>
      </c>
    </row>
    <row r="8" spans="2:13" x14ac:dyDescent="0.25">
      <c r="B8" t="s">
        <v>31</v>
      </c>
      <c r="C8" s="1">
        <v>0.25</v>
      </c>
      <c r="E8" s="2">
        <v>-1000000</v>
      </c>
      <c r="F8" s="2">
        <v>-280000</v>
      </c>
      <c r="G8" s="2">
        <v>-280000</v>
      </c>
      <c r="H8" s="2">
        <v>-280000</v>
      </c>
      <c r="I8" s="2">
        <v>-280000</v>
      </c>
      <c r="K8" t="s">
        <v>7</v>
      </c>
      <c r="L8" s="3">
        <f t="shared" si="0"/>
        <v>-1887562.3249778021</v>
      </c>
      <c r="M8">
        <f t="shared" si="1"/>
        <v>904135874839.26062</v>
      </c>
    </row>
    <row r="10" spans="2:13" x14ac:dyDescent="0.25">
      <c r="B10" t="s">
        <v>5</v>
      </c>
      <c r="C10" s="1">
        <v>0.1</v>
      </c>
      <c r="K10" t="s">
        <v>7</v>
      </c>
      <c r="L10" s="3">
        <f>+SUMPRODUCT(C6:C8,L6:L8)</f>
        <v>14158.868929717573</v>
      </c>
    </row>
    <row r="11" spans="2:13" x14ac:dyDescent="0.25">
      <c r="K11" t="s">
        <v>9</v>
      </c>
      <c r="L11" s="3">
        <f>+SUM(M6:M8)^0.5</f>
        <v>1178761.4330437065</v>
      </c>
    </row>
    <row r="12" spans="2:13" x14ac:dyDescent="0.25">
      <c r="K12" t="s">
        <v>10</v>
      </c>
      <c r="L12" s="4">
        <f>+L11/L10</f>
        <v>83.2525139469046</v>
      </c>
    </row>
    <row r="14" spans="2:13" x14ac:dyDescent="0.25">
      <c r="B14" t="s">
        <v>32</v>
      </c>
    </row>
    <row r="16" spans="2:13" x14ac:dyDescent="0.25">
      <c r="B16" t="s">
        <v>1</v>
      </c>
      <c r="C16" t="s">
        <v>4</v>
      </c>
      <c r="E16">
        <v>0</v>
      </c>
      <c r="F16">
        <v>1</v>
      </c>
      <c r="G16">
        <v>2</v>
      </c>
      <c r="H16">
        <v>3</v>
      </c>
      <c r="I16">
        <v>4</v>
      </c>
    </row>
    <row r="17" spans="1:13" x14ac:dyDescent="0.25">
      <c r="B17" t="s">
        <v>29</v>
      </c>
      <c r="C17" s="1">
        <v>0.25</v>
      </c>
      <c r="E17" s="2">
        <v>-1000000</v>
      </c>
      <c r="F17" s="2">
        <v>400000</v>
      </c>
      <c r="G17" s="2">
        <v>600000</v>
      </c>
      <c r="H17" s="2">
        <v>800000</v>
      </c>
      <c r="I17" s="2">
        <v>1300000</v>
      </c>
      <c r="K17" t="s">
        <v>7</v>
      </c>
      <c r="L17" s="3">
        <f>+NPV($C$10,F17:I17)+E17</f>
        <v>1348473.4649272584</v>
      </c>
      <c r="M17">
        <f>+(L17-$L$22)^2*C17</f>
        <v>321907618665.4472</v>
      </c>
    </row>
    <row r="18" spans="1:13" x14ac:dyDescent="0.25">
      <c r="B18" t="s">
        <v>30</v>
      </c>
      <c r="C18" s="1">
        <v>0.5</v>
      </c>
      <c r="E18" s="2">
        <v>-1000000</v>
      </c>
      <c r="F18" s="2">
        <v>200000</v>
      </c>
      <c r="G18" s="2">
        <v>400000</v>
      </c>
      <c r="H18" s="2">
        <v>500000</v>
      </c>
      <c r="I18" s="2">
        <v>600000</v>
      </c>
      <c r="K18" t="s">
        <v>7</v>
      </c>
      <c r="L18" s="3">
        <f t="shared" ref="L18:L20" si="2">+NPV($C$10,F18:I18)+E18</f>
        <v>297862.16788470699</v>
      </c>
      <c r="M18">
        <f t="shared" ref="M18:M20" si="3">+(L18-$L$22)^2*C18</f>
        <v>3538656487.9483581</v>
      </c>
    </row>
    <row r="19" spans="1:13" x14ac:dyDescent="0.25">
      <c r="B19" t="s">
        <v>31</v>
      </c>
      <c r="C19" s="1">
        <v>0</v>
      </c>
      <c r="E19" s="2">
        <v>-1000000</v>
      </c>
      <c r="F19" s="2">
        <v>-280000</v>
      </c>
      <c r="G19" s="2">
        <v>-280000</v>
      </c>
      <c r="H19" s="2">
        <v>-280000</v>
      </c>
      <c r="I19" s="2">
        <v>-280000</v>
      </c>
      <c r="K19" t="s">
        <v>7</v>
      </c>
      <c r="L19" s="3">
        <f t="shared" ref="L19" si="4">+NPV($C$10,F19:I19)+E19</f>
        <v>-1887562.3249778021</v>
      </c>
      <c r="M19">
        <f t="shared" si="3"/>
        <v>0</v>
      </c>
    </row>
    <row r="20" spans="1:13" x14ac:dyDescent="0.25">
      <c r="B20" t="s">
        <v>31</v>
      </c>
      <c r="C20" s="1">
        <v>0.25</v>
      </c>
      <c r="E20" s="2">
        <v>-1000000</v>
      </c>
      <c r="F20" s="5">
        <v>-280000</v>
      </c>
      <c r="G20" s="5">
        <v>200000</v>
      </c>
      <c r="H20" s="2">
        <v>0</v>
      </c>
      <c r="I20" s="2">
        <v>0</v>
      </c>
      <c r="K20" t="s">
        <v>7</v>
      </c>
      <c r="L20" s="3">
        <f t="shared" si="2"/>
        <v>-1089256.1983471075</v>
      </c>
      <c r="M20">
        <f t="shared" si="3"/>
        <v>424446776723.47034</v>
      </c>
    </row>
    <row r="22" spans="1:13" x14ac:dyDescent="0.25">
      <c r="B22" t="s">
        <v>5</v>
      </c>
      <c r="C22" s="1">
        <v>0.1</v>
      </c>
      <c r="K22" t="s">
        <v>7</v>
      </c>
      <c r="L22" s="3">
        <f>+SUMPRODUCT(C17:C20,L17:L20)</f>
        <v>213735.40058739122</v>
      </c>
    </row>
    <row r="23" spans="1:13" x14ac:dyDescent="0.25">
      <c r="K23" t="s">
        <v>9</v>
      </c>
      <c r="L23" s="3">
        <f>+SUM(M17:M20)^0.5</f>
        <v>865963.65505537589</v>
      </c>
    </row>
    <row r="24" spans="1:13" x14ac:dyDescent="0.25">
      <c r="B24" t="s">
        <v>33</v>
      </c>
      <c r="K24" t="s">
        <v>10</v>
      </c>
      <c r="L24" s="4">
        <f>+L23/L22</f>
        <v>4.0515686810678995</v>
      </c>
    </row>
    <row r="26" spans="1:13" x14ac:dyDescent="0.25">
      <c r="A26" t="s">
        <v>34</v>
      </c>
    </row>
    <row r="29" spans="1:13" x14ac:dyDescent="0.25">
      <c r="C29" t="s">
        <v>35</v>
      </c>
      <c r="F29" s="3">
        <f>+L22</f>
        <v>213735.40058739122</v>
      </c>
    </row>
    <row r="30" spans="1:13" x14ac:dyDescent="0.25">
      <c r="C30" t="s">
        <v>36</v>
      </c>
      <c r="F30" s="3">
        <f>+L10</f>
        <v>14158.868929717573</v>
      </c>
    </row>
    <row r="32" spans="1:13" x14ac:dyDescent="0.25">
      <c r="C32" t="s">
        <v>37</v>
      </c>
    </row>
    <row r="34" spans="3:10" x14ac:dyDescent="0.25">
      <c r="C34" t="s">
        <v>16</v>
      </c>
      <c r="F34" t="s">
        <v>38</v>
      </c>
    </row>
    <row r="35" spans="3:10" x14ac:dyDescent="0.25">
      <c r="C35" t="s">
        <v>16</v>
      </c>
      <c r="E35" s="3">
        <f>+F29-F30</f>
        <v>199576.53165767365</v>
      </c>
    </row>
    <row r="37" spans="3:10" x14ac:dyDescent="0.25">
      <c r="C37" t="s">
        <v>40</v>
      </c>
    </row>
    <row r="39" spans="3:10" x14ac:dyDescent="0.25">
      <c r="C39" t="s">
        <v>16</v>
      </c>
      <c r="F39" t="s">
        <v>39</v>
      </c>
    </row>
    <row r="40" spans="3:10" x14ac:dyDescent="0.25">
      <c r="C40" t="s">
        <v>16</v>
      </c>
      <c r="E40" s="3">
        <f>+F29</f>
        <v>213735.40058739122</v>
      </c>
    </row>
    <row r="42" spans="3:10" x14ac:dyDescent="0.25">
      <c r="C42" s="8" t="s">
        <v>23</v>
      </c>
    </row>
    <row r="44" spans="3:10" x14ac:dyDescent="0.25">
      <c r="C44" t="s">
        <v>41</v>
      </c>
      <c r="F44" s="3"/>
    </row>
    <row r="46" spans="3:10" x14ac:dyDescent="0.25">
      <c r="F46" s="3"/>
      <c r="G46" s="9"/>
      <c r="H46" s="3"/>
      <c r="I46" s="9"/>
      <c r="J4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2EED-CC4B-444D-A91E-AD204C38C660}">
  <dimension ref="A2:J52"/>
  <sheetViews>
    <sheetView workbookViewId="0"/>
  </sheetViews>
  <sheetFormatPr baseColWidth="10" defaultRowHeight="15" x14ac:dyDescent="0.25"/>
  <cols>
    <col min="5" max="5" width="13" bestFit="1" customWidth="1"/>
    <col min="6" max="6" width="14.5703125" bestFit="1" customWidth="1"/>
    <col min="7" max="10" width="12" bestFit="1" customWidth="1"/>
  </cols>
  <sheetData>
    <row r="2" spans="1:9" x14ac:dyDescent="0.25">
      <c r="A2" t="s">
        <v>43</v>
      </c>
    </row>
    <row r="4" spans="1:9" x14ac:dyDescent="0.25">
      <c r="C4" t="s">
        <v>1</v>
      </c>
      <c r="D4" t="s">
        <v>4</v>
      </c>
      <c r="F4">
        <v>0</v>
      </c>
      <c r="G4">
        <v>1</v>
      </c>
      <c r="H4">
        <v>2</v>
      </c>
      <c r="I4">
        <v>3</v>
      </c>
    </row>
    <row r="5" spans="1:9" x14ac:dyDescent="0.25">
      <c r="C5" t="s">
        <v>2</v>
      </c>
      <c r="D5" s="1">
        <v>0.5</v>
      </c>
      <c r="F5" s="2">
        <v>-3000000</v>
      </c>
      <c r="G5" s="2">
        <v>2000000</v>
      </c>
      <c r="H5" s="2">
        <v>2000000</v>
      </c>
      <c r="I5" s="2">
        <v>2000000</v>
      </c>
    </row>
    <row r="6" spans="1:9" x14ac:dyDescent="0.25">
      <c r="C6" t="s">
        <v>3</v>
      </c>
      <c r="D6" s="1">
        <v>0.5</v>
      </c>
      <c r="F6" s="2">
        <v>-3000000</v>
      </c>
      <c r="G6" s="2">
        <v>450000</v>
      </c>
      <c r="H6" s="2">
        <v>450000</v>
      </c>
      <c r="I6" s="2">
        <v>450000</v>
      </c>
    </row>
    <row r="8" spans="1:9" x14ac:dyDescent="0.25">
      <c r="C8" t="s">
        <v>5</v>
      </c>
      <c r="D8" s="1">
        <v>0.12</v>
      </c>
      <c r="E8" t="s">
        <v>6</v>
      </c>
    </row>
    <row r="10" spans="1:9" x14ac:dyDescent="0.25">
      <c r="C10" t="s">
        <v>7</v>
      </c>
      <c r="D10" t="s">
        <v>2</v>
      </c>
      <c r="E10" s="3">
        <f>+NPV($D$8,G5:I5)+F5</f>
        <v>1803662.5364431478</v>
      </c>
      <c r="F10">
        <f>+(E10-$E$13)^2*D5</f>
        <v>1732440780252.3706</v>
      </c>
    </row>
    <row r="11" spans="1:9" x14ac:dyDescent="0.25">
      <c r="D11" t="s">
        <v>3</v>
      </c>
      <c r="E11" s="3">
        <f>+NPV($D$8,G6:I6)+F6</f>
        <v>-1919175.9293002917</v>
      </c>
      <c r="F11">
        <f>+(E11-$E$13)^2*D6</f>
        <v>1732440780252.3706</v>
      </c>
    </row>
    <row r="13" spans="1:9" x14ac:dyDescent="0.25">
      <c r="D13" t="s">
        <v>8</v>
      </c>
      <c r="E13" s="3">
        <f>+SUMPRODUCT(D5:D6,E10:E11)</f>
        <v>-57756.696428571944</v>
      </c>
      <c r="F13" t="s">
        <v>42</v>
      </c>
    </row>
    <row r="14" spans="1:9" x14ac:dyDescent="0.25">
      <c r="D14" t="s">
        <v>9</v>
      </c>
      <c r="E14" s="2">
        <f>+SUM(F10:F11)^0.5</f>
        <v>1861419.2328717196</v>
      </c>
    </row>
    <row r="15" spans="1:9" x14ac:dyDescent="0.25">
      <c r="D15" t="s">
        <v>10</v>
      </c>
      <c r="E15" s="4">
        <f>+E14/E13</f>
        <v>-32.228630582667556</v>
      </c>
    </row>
    <row r="17" spans="1:9" x14ac:dyDescent="0.25">
      <c r="A17" t="s">
        <v>44</v>
      </c>
    </row>
    <row r="20" spans="1:9" x14ac:dyDescent="0.25">
      <c r="C20" t="s">
        <v>1</v>
      </c>
      <c r="D20" t="s">
        <v>4</v>
      </c>
      <c r="F20">
        <v>0</v>
      </c>
      <c r="G20">
        <v>1</v>
      </c>
      <c r="H20">
        <v>2</v>
      </c>
      <c r="I20">
        <v>3</v>
      </c>
    </row>
    <row r="21" spans="1:9" x14ac:dyDescent="0.25">
      <c r="C21" t="s">
        <v>2</v>
      </c>
      <c r="D21" s="1">
        <v>0.5</v>
      </c>
      <c r="F21" s="6">
        <v>0</v>
      </c>
      <c r="G21" s="6">
        <v>-3000000</v>
      </c>
      <c r="H21" s="6">
        <v>2000000</v>
      </c>
      <c r="I21" s="6">
        <v>2000000</v>
      </c>
    </row>
    <row r="22" spans="1:9" x14ac:dyDescent="0.25">
      <c r="C22" t="s">
        <v>3</v>
      </c>
      <c r="D22" s="1">
        <v>0.5</v>
      </c>
      <c r="F22" s="2">
        <v>0</v>
      </c>
      <c r="G22" s="2">
        <v>0</v>
      </c>
      <c r="H22" s="2">
        <v>0</v>
      </c>
      <c r="I22" s="2">
        <v>0</v>
      </c>
    </row>
    <row r="24" spans="1:9" x14ac:dyDescent="0.25">
      <c r="C24" t="s">
        <v>5</v>
      </c>
      <c r="D24" s="1">
        <v>0.12</v>
      </c>
      <c r="E24" t="s">
        <v>6</v>
      </c>
    </row>
    <row r="26" spans="1:9" x14ac:dyDescent="0.25">
      <c r="C26" t="s">
        <v>7</v>
      </c>
      <c r="D26" t="s">
        <v>2</v>
      </c>
      <c r="E26" s="3">
        <f>+NPV($D$8,G21:I21)+F21</f>
        <v>339376.82215743384</v>
      </c>
      <c r="F26">
        <f>+(E26-$E$29)^2*D21</f>
        <v>14397078427.20981</v>
      </c>
      <c r="G26" s="7" t="s">
        <v>45</v>
      </c>
    </row>
    <row r="27" spans="1:9" x14ac:dyDescent="0.25">
      <c r="D27" t="s">
        <v>3</v>
      </c>
      <c r="E27" s="3">
        <f>+NPV($D$8,G22:I22)+F22</f>
        <v>0</v>
      </c>
      <c r="F27">
        <f>+(E27-$E$29)^2*D22</f>
        <v>14397078427.20981</v>
      </c>
    </row>
    <row r="29" spans="1:9" x14ac:dyDescent="0.25">
      <c r="D29" t="s">
        <v>8</v>
      </c>
      <c r="E29" s="3">
        <f>+SUMPRODUCT(D21:D22,E26:E27)</f>
        <v>169688.41107871692</v>
      </c>
    </row>
    <row r="30" spans="1:9" x14ac:dyDescent="0.25">
      <c r="D30" t="s">
        <v>9</v>
      </c>
      <c r="E30" s="2">
        <f>+SUM(F26:F27)^0.5</f>
        <v>169688.41107871692</v>
      </c>
    </row>
    <row r="31" spans="1:9" x14ac:dyDescent="0.25">
      <c r="D31" t="s">
        <v>10</v>
      </c>
      <c r="E31" s="4">
        <f>+E30/E29</f>
        <v>1</v>
      </c>
      <c r="F31" t="s">
        <v>21</v>
      </c>
    </row>
    <row r="33" spans="1:6" x14ac:dyDescent="0.25">
      <c r="A33" t="s">
        <v>13</v>
      </c>
    </row>
    <row r="35" spans="1:6" x14ac:dyDescent="0.25">
      <c r="C35" t="s">
        <v>46</v>
      </c>
      <c r="F35" s="3">
        <f>+E29</f>
        <v>169688.41107871692</v>
      </c>
    </row>
    <row r="36" spans="1:6" x14ac:dyDescent="0.25">
      <c r="C36" t="s">
        <v>47</v>
      </c>
      <c r="F36" s="3">
        <f>+E13</f>
        <v>-57756.696428571944</v>
      </c>
    </row>
    <row r="38" spans="1:6" x14ac:dyDescent="0.25">
      <c r="C38" t="s">
        <v>48</v>
      </c>
    </row>
    <row r="40" spans="1:6" x14ac:dyDescent="0.25">
      <c r="C40" t="s">
        <v>16</v>
      </c>
      <c r="F40" t="s">
        <v>18</v>
      </c>
    </row>
    <row r="41" spans="1:6" x14ac:dyDescent="0.25">
      <c r="C41" t="s">
        <v>16</v>
      </c>
      <c r="E41" s="3"/>
      <c r="F41" t="s">
        <v>49</v>
      </c>
    </row>
    <row r="43" spans="1:6" x14ac:dyDescent="0.25">
      <c r="C43" t="s">
        <v>57</v>
      </c>
    </row>
    <row r="45" spans="1:6" x14ac:dyDescent="0.25">
      <c r="C45" t="s">
        <v>16</v>
      </c>
      <c r="F45" t="s">
        <v>58</v>
      </c>
    </row>
    <row r="46" spans="1:6" x14ac:dyDescent="0.25">
      <c r="C46" t="s">
        <v>16</v>
      </c>
      <c r="E46" s="3">
        <f>+F35</f>
        <v>169688.41107871692</v>
      </c>
    </row>
    <row r="48" spans="1:6" x14ac:dyDescent="0.25">
      <c r="C48" s="8" t="s">
        <v>23</v>
      </c>
    </row>
    <row r="50" spans="6:10" x14ac:dyDescent="0.25">
      <c r="F50" s="3"/>
    </row>
    <row r="52" spans="6:10" x14ac:dyDescent="0.25">
      <c r="F52" s="3"/>
      <c r="G52" s="9"/>
      <c r="H52" s="3"/>
      <c r="I52" s="9"/>
      <c r="J5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DAA2-B7A8-4D70-9C83-6910DDC6D4EE}">
  <dimension ref="A2:J52"/>
  <sheetViews>
    <sheetView workbookViewId="0">
      <selection activeCell="E46" sqref="E46"/>
    </sheetView>
  </sheetViews>
  <sheetFormatPr baseColWidth="10" defaultRowHeight="15" x14ac:dyDescent="0.25"/>
  <cols>
    <col min="5" max="5" width="13" bestFit="1" customWidth="1"/>
    <col min="6" max="6" width="14.5703125" bestFit="1" customWidth="1"/>
    <col min="7" max="10" width="12" bestFit="1" customWidth="1"/>
  </cols>
  <sheetData>
    <row r="2" spans="1:9" x14ac:dyDescent="0.25">
      <c r="A2" t="s">
        <v>50</v>
      </c>
    </row>
    <row r="4" spans="1:9" x14ac:dyDescent="0.25">
      <c r="C4" t="s">
        <v>59</v>
      </c>
      <c r="D4" t="s">
        <v>4</v>
      </c>
      <c r="F4">
        <v>0</v>
      </c>
      <c r="G4">
        <v>1</v>
      </c>
      <c r="H4">
        <v>2</v>
      </c>
      <c r="I4">
        <v>3</v>
      </c>
    </row>
    <row r="5" spans="1:9" x14ac:dyDescent="0.25">
      <c r="C5" t="s">
        <v>60</v>
      </c>
      <c r="D5" s="1">
        <v>0.5</v>
      </c>
      <c r="F5" s="2">
        <v>-5000000</v>
      </c>
      <c r="G5" s="2">
        <v>2500000</v>
      </c>
      <c r="H5" s="2">
        <v>2500000</v>
      </c>
      <c r="I5" s="2">
        <v>2500000</v>
      </c>
    </row>
    <row r="6" spans="1:9" x14ac:dyDescent="0.25">
      <c r="C6" t="s">
        <v>61</v>
      </c>
      <c r="D6" s="1">
        <v>0.5</v>
      </c>
      <c r="F6" s="2">
        <v>-5000000</v>
      </c>
      <c r="G6" s="2">
        <v>1500000</v>
      </c>
      <c r="H6" s="2">
        <v>1500000</v>
      </c>
      <c r="I6" s="2">
        <v>1500000</v>
      </c>
    </row>
    <row r="8" spans="1:9" x14ac:dyDescent="0.25">
      <c r="C8" t="s">
        <v>5</v>
      </c>
      <c r="D8" s="1">
        <v>0.12</v>
      </c>
      <c r="E8" t="s">
        <v>6</v>
      </c>
    </row>
    <row r="10" spans="1:9" x14ac:dyDescent="0.25">
      <c r="C10" t="s">
        <v>7</v>
      </c>
      <c r="D10" t="s">
        <v>60</v>
      </c>
      <c r="E10" s="3">
        <f>+NPV($D$8,G5:I5)+F5</f>
        <v>1004578.1705539348</v>
      </c>
      <c r="F10">
        <f>+(E10-$E$13)^2*D5</f>
        <v>721099180125.85706</v>
      </c>
    </row>
    <row r="11" spans="1:9" x14ac:dyDescent="0.25">
      <c r="D11" t="s">
        <v>61</v>
      </c>
      <c r="E11" s="3">
        <f>+NPV($D$8,G6:I6)+F6</f>
        <v>-1397253.0976676396</v>
      </c>
      <c r="F11">
        <f>+(E11-$E$13)^2*D6</f>
        <v>721099180125.85706</v>
      </c>
    </row>
    <row r="13" spans="1:9" x14ac:dyDescent="0.25">
      <c r="D13" t="s">
        <v>8</v>
      </c>
      <c r="E13" s="3">
        <f>+SUMPRODUCT(D5:D6,E10:E11)</f>
        <v>-196337.46355685242</v>
      </c>
      <c r="F13" t="s">
        <v>42</v>
      </c>
    </row>
    <row r="14" spans="1:9" x14ac:dyDescent="0.25">
      <c r="D14" t="s">
        <v>9</v>
      </c>
      <c r="E14" s="2">
        <f>+SUM(F10:F11)^0.5</f>
        <v>1200915.6341107872</v>
      </c>
    </row>
    <row r="15" spans="1:9" x14ac:dyDescent="0.25">
      <c r="D15" t="s">
        <v>10</v>
      </c>
      <c r="E15" s="4">
        <f>+E14/E13</f>
        <v>-6.1165893271461371</v>
      </c>
    </row>
    <row r="17" spans="1:10" x14ac:dyDescent="0.25">
      <c r="A17" t="s">
        <v>51</v>
      </c>
    </row>
    <row r="20" spans="1:10" x14ac:dyDescent="0.25">
      <c r="C20" t="s">
        <v>59</v>
      </c>
      <c r="D20" t="s">
        <v>4</v>
      </c>
      <c r="F20">
        <v>0</v>
      </c>
      <c r="G20">
        <v>1</v>
      </c>
      <c r="H20">
        <v>2</v>
      </c>
      <c r="I20">
        <v>3</v>
      </c>
    </row>
    <row r="21" spans="1:10" x14ac:dyDescent="0.25">
      <c r="C21" t="s">
        <v>60</v>
      </c>
      <c r="D21" s="1">
        <v>0.5</v>
      </c>
      <c r="F21" s="6">
        <v>-5100000</v>
      </c>
      <c r="G21" s="6">
        <v>2500000</v>
      </c>
      <c r="H21" s="6">
        <v>2500000</v>
      </c>
      <c r="I21" s="6">
        <v>2500000</v>
      </c>
    </row>
    <row r="22" spans="1:10" x14ac:dyDescent="0.25">
      <c r="C22" t="s">
        <v>61</v>
      </c>
      <c r="D22" s="1">
        <v>0.5</v>
      </c>
      <c r="F22" s="2">
        <v>-5100000</v>
      </c>
      <c r="G22" s="2">
        <v>1500000</v>
      </c>
      <c r="H22" s="2">
        <v>2250000</v>
      </c>
      <c r="I22" s="2">
        <v>2250000</v>
      </c>
      <c r="J22" t="s">
        <v>62</v>
      </c>
    </row>
    <row r="24" spans="1:10" x14ac:dyDescent="0.25">
      <c r="C24" t="s">
        <v>5</v>
      </c>
      <c r="D24" s="1">
        <v>0.12</v>
      </c>
      <c r="E24" t="s">
        <v>6</v>
      </c>
    </row>
    <row r="26" spans="1:10" x14ac:dyDescent="0.25">
      <c r="C26" t="s">
        <v>7</v>
      </c>
      <c r="D26" t="s">
        <v>60</v>
      </c>
      <c r="E26" s="3">
        <f>+NPV($D$8,G21:I21)+F21</f>
        <v>904578.17055393476</v>
      </c>
      <c r="F26">
        <f>+(E26-$E$29)^2*D21</f>
        <v>201644465324.85623</v>
      </c>
      <c r="G26" s="7" t="s">
        <v>45</v>
      </c>
    </row>
    <row r="27" spans="1:10" x14ac:dyDescent="0.25">
      <c r="D27" t="s">
        <v>61</v>
      </c>
      <c r="E27" s="3">
        <f>+NPV($D$8,G22:I22)+F22</f>
        <v>-365522.50364431553</v>
      </c>
      <c r="F27">
        <f>+(E27-$E$29)^2*D22</f>
        <v>201644465324.85623</v>
      </c>
    </row>
    <row r="29" spans="1:10" x14ac:dyDescent="0.25">
      <c r="D29" t="s">
        <v>8</v>
      </c>
      <c r="E29" s="3">
        <f>+SUMPRODUCT(D21:D22,E26:E27)</f>
        <v>269527.83345480962</v>
      </c>
    </row>
    <row r="30" spans="1:10" x14ac:dyDescent="0.25">
      <c r="D30" t="s">
        <v>9</v>
      </c>
      <c r="E30" s="2">
        <f>+SUM(F26:F27)^0.5</f>
        <v>635050.33709912514</v>
      </c>
    </row>
    <row r="31" spans="1:10" x14ac:dyDescent="0.25">
      <c r="D31" t="s">
        <v>10</v>
      </c>
      <c r="E31" s="4">
        <f>+E30/E29</f>
        <v>2.3561586532976784</v>
      </c>
      <c r="F31" t="s">
        <v>21</v>
      </c>
    </row>
    <row r="33" spans="1:6" x14ac:dyDescent="0.25">
      <c r="A33" t="s">
        <v>13</v>
      </c>
    </row>
    <row r="35" spans="1:6" x14ac:dyDescent="0.25">
      <c r="C35" t="s">
        <v>52</v>
      </c>
      <c r="F35" s="3">
        <f>+E29</f>
        <v>269527.83345480962</v>
      </c>
    </row>
    <row r="36" spans="1:6" x14ac:dyDescent="0.25">
      <c r="C36" t="s">
        <v>53</v>
      </c>
      <c r="F36" s="3">
        <f>+E13</f>
        <v>-196337.46355685242</v>
      </c>
    </row>
    <row r="38" spans="1:6" x14ac:dyDescent="0.25">
      <c r="C38" t="s">
        <v>48</v>
      </c>
    </row>
    <row r="40" spans="1:6" x14ac:dyDescent="0.25">
      <c r="C40" t="s">
        <v>16</v>
      </c>
      <c r="F40" t="s">
        <v>54</v>
      </c>
    </row>
    <row r="41" spans="1:6" x14ac:dyDescent="0.25">
      <c r="C41" t="s">
        <v>16</v>
      </c>
      <c r="E41" s="3"/>
      <c r="F41" t="s">
        <v>49</v>
      </c>
    </row>
    <row r="43" spans="1:6" x14ac:dyDescent="0.25">
      <c r="C43" t="s">
        <v>55</v>
      </c>
    </row>
    <row r="45" spans="1:6" x14ac:dyDescent="0.25">
      <c r="C45" t="s">
        <v>16</v>
      </c>
      <c r="F45" t="s">
        <v>56</v>
      </c>
    </row>
    <row r="46" spans="1:6" x14ac:dyDescent="0.25">
      <c r="C46" t="s">
        <v>16</v>
      </c>
      <c r="E46" s="3">
        <f>+F35</f>
        <v>269527.83345480962</v>
      </c>
      <c r="F46" t="s">
        <v>63</v>
      </c>
    </row>
    <row r="48" spans="1:6" x14ac:dyDescent="0.25">
      <c r="C48" s="8"/>
    </row>
    <row r="50" spans="6:10" x14ac:dyDescent="0.25">
      <c r="F50" s="3"/>
    </row>
    <row r="52" spans="6:10" x14ac:dyDescent="0.25">
      <c r="F52" s="3"/>
      <c r="G52" s="9"/>
      <c r="H52" s="3"/>
      <c r="I52" s="9"/>
      <c r="J5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6322-FC20-423B-95A3-FD21B7F8A471}">
  <dimension ref="D2:L16"/>
  <sheetViews>
    <sheetView workbookViewId="0"/>
  </sheetViews>
  <sheetFormatPr baseColWidth="10" defaultRowHeight="15" x14ac:dyDescent="0.25"/>
  <sheetData>
    <row r="2" spans="4:12" x14ac:dyDescent="0.25">
      <c r="D2" s="1">
        <v>0.3</v>
      </c>
      <c r="E2" s="11"/>
    </row>
    <row r="3" spans="4:12" x14ac:dyDescent="0.25">
      <c r="E3" s="11"/>
    </row>
    <row r="4" spans="4:12" x14ac:dyDescent="0.25">
      <c r="D4" s="1">
        <v>0.25</v>
      </c>
      <c r="E4" s="11"/>
    </row>
    <row r="5" spans="4:12" x14ac:dyDescent="0.25">
      <c r="E5" s="11"/>
    </row>
    <row r="6" spans="4:12" x14ac:dyDescent="0.25">
      <c r="D6" s="1">
        <v>0.2</v>
      </c>
      <c r="E6" s="11"/>
      <c r="I6" s="2">
        <v>1200</v>
      </c>
    </row>
    <row r="7" spans="4:12" x14ac:dyDescent="0.25">
      <c r="E7" s="11"/>
    </row>
    <row r="8" spans="4:12" x14ac:dyDescent="0.25">
      <c r="D8" s="1">
        <v>0.15</v>
      </c>
      <c r="E8" s="11"/>
    </row>
    <row r="9" spans="4:12" x14ac:dyDescent="0.25">
      <c r="E9" s="11"/>
    </row>
    <row r="10" spans="4:12" x14ac:dyDescent="0.25">
      <c r="D10" s="1">
        <v>0.1</v>
      </c>
      <c r="E10" s="11"/>
    </row>
    <row r="11" spans="4:12" x14ac:dyDescent="0.25">
      <c r="E11" s="11"/>
    </row>
    <row r="12" spans="4:12" x14ac:dyDescent="0.25">
      <c r="D12" s="1">
        <v>0.05</v>
      </c>
      <c r="E12" s="11"/>
    </row>
    <row r="13" spans="4:12" x14ac:dyDescent="0.25">
      <c r="E13" s="11"/>
    </row>
    <row r="14" spans="4:12" ht="15.75" thickBot="1" x14ac:dyDescent="0.3">
      <c r="D14" s="1">
        <v>0</v>
      </c>
      <c r="E14" s="12"/>
      <c r="F14" s="13"/>
      <c r="G14" s="10"/>
      <c r="H14" s="13"/>
      <c r="I14" s="10"/>
      <c r="J14" s="13"/>
      <c r="K14" s="10"/>
      <c r="L14" s="13"/>
    </row>
    <row r="15" spans="4:12" x14ac:dyDescent="0.25">
      <c r="F15" s="14"/>
      <c r="H15" s="14"/>
      <c r="J15" s="15"/>
      <c r="L15" s="15"/>
    </row>
    <row r="16" spans="4:12" x14ac:dyDescent="0.25">
      <c r="D16" s="2">
        <v>100</v>
      </c>
      <c r="F16" s="2">
        <v>600</v>
      </c>
      <c r="H16" s="2">
        <v>1100</v>
      </c>
      <c r="J16" s="2">
        <v>1600</v>
      </c>
      <c r="L16" s="2">
        <v>2100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0668E3FE9A3174EAF1AA80B147CEE15" ma:contentTypeVersion="4" ma:contentTypeDescription="Crear nuevo documento." ma:contentTypeScope="" ma:versionID="d29dfd9a9a7666034e5ad4f5ee96d9e6">
  <xsd:schema xmlns:xsd="http://www.w3.org/2001/XMLSchema" xmlns:xs="http://www.w3.org/2001/XMLSchema" xmlns:p="http://schemas.microsoft.com/office/2006/metadata/properties" xmlns:ns2="e0a2096b-51a3-4c59-a6bd-c7f798262ca8" targetNamespace="http://schemas.microsoft.com/office/2006/metadata/properties" ma:root="true" ma:fieldsID="bfc5d357d775e068c7ede3c89a10d3d3" ns2:_="">
    <xsd:import namespace="e0a2096b-51a3-4c59-a6bd-c7f798262c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2096b-51a3-4c59-a6bd-c7f798262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042982-D449-4D67-9EC7-CBD5C90461DC}"/>
</file>

<file path=customXml/itemProps2.xml><?xml version="1.0" encoding="utf-8"?>
<ds:datastoreItem xmlns:ds="http://schemas.openxmlformats.org/officeDocument/2006/customXml" ds:itemID="{235E60CD-76C1-479A-AA82-B0C6A95F6F70}"/>
</file>

<file path=customXml/itemProps3.xml><?xml version="1.0" encoding="utf-8"?>
<ds:datastoreItem xmlns:ds="http://schemas.openxmlformats.org/officeDocument/2006/customXml" ds:itemID="{322D5592-4F2A-4C9D-AD6E-BB1B76658F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AMPLIACIÓN</vt:lpstr>
      <vt:lpstr>ABANDONO</vt:lpstr>
      <vt:lpstr>ELECCION DEL MOMENTO</vt:lpstr>
      <vt:lpstr>FLEXIBILIDAD</vt:lpstr>
      <vt:lpstr>Presupuesto Optimo de Capital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GRINBLAT GUSTAVO GABRIEL</dc:creator>
  <cp:lastModifiedBy>GRINBLAT GUSTAVO GABRIEL</cp:lastModifiedBy>
  <dcterms:created xsi:type="dcterms:W3CDTF">2024-05-06T15:05:59Z</dcterms:created>
  <dcterms:modified xsi:type="dcterms:W3CDTF">2024-05-16T15:06:42Z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0x01010020668E3FE9A3174EAF1AA80B147CEE15</vt:lpwstr>
  </property>
</Properties>
</file>