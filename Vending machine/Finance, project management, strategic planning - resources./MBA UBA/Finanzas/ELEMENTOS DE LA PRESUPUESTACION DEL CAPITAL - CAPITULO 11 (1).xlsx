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30"/>
  <workbookPr/>
  <mc:AlternateContent xmlns:mc="http://schemas.openxmlformats.org/markup-compatibility/2006">
    <mc:Choice Requires="x15">
      <x15ac:absPath xmlns:x15ac="http://schemas.microsoft.com/office/spreadsheetml/2010/11/ac" url="C:\Users\usuario\Desktop\FINANZAS CORPORATIVAS\CLASES\"/>
    </mc:Choice>
  </mc:AlternateContent>
  <xr:revisionPtr revIDLastSave="0" documentId="13_ncr:1_{1FC86BD7-5F8D-41DE-8133-FF6F851A7B2E}" xr6:coauthVersionLast="47" xr6:coauthVersionMax="47" xr10:uidLastSave="{00000000-0000-0000-0000-000000000000}"/>
  <bookViews>
    <workbookView xWindow="-120" yWindow="-120" windowWidth="20730" windowHeight="11040" xr2:uid="{9F02A9E5-6379-47BE-B1A2-2B71D6294033}"/>
  </bookViews>
  <sheets>
    <sheet name="NPV" sheetId="1" r:id="rId1"/>
    <sheet name="TIR" sheetId="2" r:id="rId2"/>
    <sheet name="Mina de Carbón" sheetId="4" r:id="rId3"/>
    <sheet name="MIRR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5" l="1"/>
  <c r="F33" i="5"/>
  <c r="E33" i="5"/>
  <c r="F36" i="5" s="1"/>
  <c r="F32" i="5"/>
  <c r="F30" i="5"/>
  <c r="E30" i="5"/>
  <c r="D30" i="5"/>
  <c r="D40" i="5" s="1"/>
  <c r="F29" i="5"/>
  <c r="E29" i="5"/>
  <c r="D29" i="5"/>
  <c r="C40" i="5" s="1"/>
  <c r="D39" i="5"/>
  <c r="C39" i="5"/>
  <c r="F35" i="5" l="1"/>
  <c r="D36" i="5"/>
  <c r="D41" i="5" s="1"/>
  <c r="D35" i="5"/>
  <c r="E21" i="5"/>
  <c r="C16" i="5"/>
  <c r="G12" i="5"/>
  <c r="F12" i="5"/>
  <c r="E12" i="5"/>
  <c r="D12" i="5"/>
  <c r="H12" i="5" s="1"/>
  <c r="C19" i="5" s="1"/>
  <c r="C38" i="4"/>
  <c r="E36" i="4"/>
  <c r="D36" i="4"/>
  <c r="C36" i="4"/>
  <c r="C30" i="4"/>
  <c r="D27" i="4"/>
  <c r="C27" i="4"/>
  <c r="E23" i="4"/>
  <c r="D23" i="4"/>
  <c r="C23" i="4"/>
  <c r="C14" i="4"/>
  <c r="E12" i="4"/>
  <c r="D12" i="4"/>
  <c r="C12" i="4"/>
  <c r="C6" i="4"/>
  <c r="F63" i="2"/>
  <c r="F62" i="2"/>
  <c r="F41" i="2"/>
  <c r="E41" i="2"/>
  <c r="D41" i="2"/>
  <c r="C41" i="2"/>
  <c r="F40" i="2"/>
  <c r="E40" i="2"/>
  <c r="D40" i="2"/>
  <c r="C40" i="2"/>
  <c r="C14" i="2"/>
  <c r="C15" i="2"/>
  <c r="C32" i="2"/>
  <c r="C33" i="2"/>
  <c r="G23" i="2"/>
  <c r="H20" i="2"/>
  <c r="H19" i="2"/>
  <c r="C2" i="2"/>
  <c r="H6" i="2" s="1"/>
  <c r="C16" i="1"/>
  <c r="C15" i="1"/>
  <c r="G13" i="1"/>
  <c r="F13" i="1"/>
  <c r="E13" i="1"/>
  <c r="D13" i="1"/>
  <c r="C13" i="1"/>
  <c r="G12" i="1"/>
  <c r="F12" i="1"/>
  <c r="E12" i="1"/>
  <c r="D12" i="1"/>
  <c r="C12" i="1"/>
  <c r="H10" i="1"/>
  <c r="H9" i="1"/>
  <c r="C41" i="5" l="1"/>
  <c r="C21" i="5"/>
  <c r="C62" i="2"/>
  <c r="C65" i="2" s="1"/>
  <c r="D62" i="2"/>
  <c r="E62" i="2"/>
  <c r="C63" i="2"/>
  <c r="D63" i="2"/>
  <c r="E63" i="2"/>
  <c r="D23" i="2"/>
  <c r="C43" i="2"/>
  <c r="C23" i="2"/>
  <c r="E23" i="2"/>
  <c r="F23" i="2"/>
  <c r="C22" i="2"/>
  <c r="E22" i="2"/>
  <c r="G22" i="2"/>
  <c r="D22" i="2"/>
  <c r="F22" i="2"/>
  <c r="D6" i="2"/>
  <c r="C6" i="2"/>
  <c r="E6" i="2"/>
  <c r="F6" i="2"/>
  <c r="G6" i="2"/>
  <c r="C66" i="2" l="1"/>
  <c r="C44" i="2"/>
  <c r="C25" i="2"/>
  <c r="C26" i="2"/>
  <c r="B6" i="2"/>
</calcChain>
</file>

<file path=xl/sharedStrings.xml><?xml version="1.0" encoding="utf-8"?>
<sst xmlns="http://schemas.openxmlformats.org/spreadsheetml/2006/main" count="104" uniqueCount="56">
  <si>
    <t>Proyectos S y L</t>
  </si>
  <si>
    <t>WACC</t>
  </si>
  <si>
    <t>Costo Inicial</t>
  </si>
  <si>
    <t>Flujos de Efectivo a fin de año después de impuestos CFt</t>
  </si>
  <si>
    <t>Entradas Totales</t>
  </si>
  <si>
    <t>Año</t>
  </si>
  <si>
    <t>Proyecto S</t>
  </si>
  <si>
    <t>Proyecto L</t>
  </si>
  <si>
    <t>NPVs</t>
  </si>
  <si>
    <t>NPVl</t>
  </si>
  <si>
    <t>NPV</t>
  </si>
  <si>
    <t>Como los pagos son del $100, 10% del Valor del Bono, la única tasa que hará que el VP del flujo de fondos iguale al valor del Bono es 10%</t>
  </si>
  <si>
    <t>Ni 11% ni 9%, ni ninguna otra</t>
  </si>
  <si>
    <t>TIR - S</t>
  </si>
  <si>
    <t>TIR - L</t>
  </si>
  <si>
    <t>Proyectos X e Y</t>
  </si>
  <si>
    <t>TIR X</t>
  </si>
  <si>
    <t>TIR Y</t>
  </si>
  <si>
    <t>Proyecto X</t>
  </si>
  <si>
    <t>Proyecto Y</t>
  </si>
  <si>
    <t>a. TIR de cada proyecto</t>
  </si>
  <si>
    <t>b. Cuál elegiríamos basados en la TIR si son independientes y la WACC es del 10%</t>
  </si>
  <si>
    <t>c. Cuál elegiríamos basados en la TIR si son mutuamente excluyentes y la WACC es del 10%</t>
  </si>
  <si>
    <t>Sin embargo, no olvidemos que si tomamos el WACC y el criterio del NPV tendríamos</t>
  </si>
  <si>
    <t>NPV - X</t>
  </si>
  <si>
    <t>NPV - Y</t>
  </si>
  <si>
    <t>Al revés que la decisión basada en TIR</t>
  </si>
  <si>
    <t>TIR</t>
  </si>
  <si>
    <t xml:space="preserve">Veamos con una TIR del </t>
  </si>
  <si>
    <t>Flujos</t>
  </si>
  <si>
    <t>VA</t>
  </si>
  <si>
    <t>O sea que una TIR de 400% también es solución de la ecuación. ¿Cuál debemos considerar si el costo de capital fuera, por ejemplo, del 30%?</t>
  </si>
  <si>
    <t>Una solución práctiva para resolver este problema, es descontar todos los flujos negativos al WACC al momento cero</t>
  </si>
  <si>
    <t>En este caso, sería</t>
  </si>
  <si>
    <t>descontado al WACC</t>
  </si>
  <si>
    <t>Es muy subjetivo, y por ello nuevamente se sugiere usar NPV</t>
  </si>
  <si>
    <t>NPV con WACC del</t>
  </si>
  <si>
    <t xml:space="preserve">Proyecto S </t>
  </si>
  <si>
    <t>FV AL WACC</t>
  </si>
  <si>
    <t>APLICANDO LA FÓRMULA DEL EXCEL</t>
  </si>
  <si>
    <t>PV</t>
  </si>
  <si>
    <t>NPER</t>
  </si>
  <si>
    <t>PMT</t>
  </si>
  <si>
    <t>Lo forzamos</t>
  </si>
  <si>
    <t>FV</t>
  </si>
  <si>
    <t>MIRR</t>
  </si>
  <si>
    <t>cuando la TIR de S era</t>
  </si>
  <si>
    <t>OTRO EJEMPLO</t>
  </si>
  <si>
    <t>PROYECTO A</t>
  </si>
  <si>
    <t>PROYECTO B</t>
  </si>
  <si>
    <t>NPV A</t>
  </si>
  <si>
    <t>NPV B</t>
  </si>
  <si>
    <t>FV A</t>
  </si>
  <si>
    <t>FV B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</si>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</sst>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* #,##0_-;\-* #,##0_-;_-* &quot;-&quot;??_-;_-@_-"/>
    <numFmt numFmtId="167" formatCode="_-&quot;$&quot;\ * #,##0_-;\-&quot;$&quot;\ * #,##0_-;_-&quot;$&quot;\ * &quot;-&quot;??_-;_-@_-"/>
    <numFmt numFmtId="168" formatCode="_-&quot;$&quot;\ * #,##0.000_-;\-&quot;$&quot;\ * #,##0.000_-;_-&quot;$&quot;\ * &quot;-&quot;??_-;_-@_-"/>
    <numFmt numFmtId="169" formatCode="_-&quot;$&quot;\ * #,##0.0000_-;\-&quot;$&quot;\ * #,##0.0000_-;_-&quot;$&quot;\ 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4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166" fontId="0" fillId="0" borderId="0" xfId="1" applyNumberFormat="1" applyFont="1"/>
    <xf numFmtId="164" fontId="0" fillId="0" borderId="0" xfId="0" applyNumberFormat="1"/>
    <xf numFmtId="0" fontId="0" fillId="0" borderId="1" xfId="0" applyBorder="1" applyAlignment="1">
      <alignment horizontal="center"/>
    </xf>
    <xf numFmtId="165" fontId="0" fillId="0" borderId="0" xfId="2" applyFont="1"/>
    <xf numFmtId="167" fontId="0" fillId="0" borderId="0" xfId="2" applyNumberFormat="1" applyFont="1"/>
    <xf numFmtId="168" fontId="0" fillId="0" borderId="0" xfId="2" applyNumberFormat="1" applyFont="1"/>
    <xf numFmtId="169" fontId="0" fillId="0" borderId="0" xfId="2" applyNumberFormat="1" applyFont="1"/>
    <xf numFmtId="10" fontId="0" fillId="0" borderId="0" xfId="0" applyNumberFormat="1"/>
    <xf numFmtId="2" fontId="0" fillId="0" borderId="0" xfId="0" applyNumberFormat="1"/>
    <xf numFmtId="2" fontId="0" fillId="2" borderId="0" xfId="0" applyNumberFormat="1" applyFill="1"/>
    <xf numFmtId="167" fontId="0" fillId="0" borderId="0" xfId="0" applyNumberFormat="1"/>
    <xf numFmtId="165" fontId="0" fillId="0" borderId="0" xfId="0" applyNumberFormat="1"/>
    <xf numFmtId="10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88B1-AEC4-4E9E-B104-DAAEEFE5CBCB}">
  <dimension ref="B3:H16"/>
  <sheetViews>
    <sheetView tabSelected="1" workbookViewId="0"/>
  </sheetViews>
  <sheetFormatPr defaultColWidth="11.42578125" defaultRowHeight="15"/>
  <cols>
    <col min="3" max="3" width="12.42578125" customWidth="1"/>
    <col min="4" max="7" width="13.5703125" customWidth="1"/>
    <col min="8" max="8" width="14.5703125" customWidth="1"/>
  </cols>
  <sheetData>
    <row r="3" spans="2:8">
      <c r="B3" t="s">
        <v>0</v>
      </c>
    </row>
    <row r="5" spans="2:8">
      <c r="B5" t="s">
        <v>1</v>
      </c>
      <c r="C5" s="1">
        <v>0.1</v>
      </c>
    </row>
    <row r="6" spans="2:8" ht="15.75" thickBot="1">
      <c r="C6" s="1"/>
    </row>
    <row r="7" spans="2:8" ht="15.75" thickBot="1">
      <c r="C7" s="4" t="s">
        <v>2</v>
      </c>
      <c r="D7" s="19" t="s">
        <v>3</v>
      </c>
      <c r="E7" s="20"/>
      <c r="F7" s="20"/>
      <c r="G7" s="21"/>
      <c r="H7" s="22" t="s">
        <v>4</v>
      </c>
    </row>
    <row r="8" spans="2:8" ht="15.75" thickBot="1">
      <c r="B8" t="s">
        <v>5</v>
      </c>
      <c r="C8" s="7">
        <v>0</v>
      </c>
      <c r="D8" s="7">
        <v>1</v>
      </c>
      <c r="E8" s="7">
        <v>2</v>
      </c>
      <c r="F8" s="7">
        <v>3</v>
      </c>
      <c r="G8" s="3">
        <v>4</v>
      </c>
      <c r="H8" s="23"/>
    </row>
    <row r="9" spans="2:8">
      <c r="B9" t="s">
        <v>6</v>
      </c>
      <c r="C9" s="9">
        <v>-1000</v>
      </c>
      <c r="D9" s="9">
        <v>500</v>
      </c>
      <c r="E9" s="9">
        <v>400</v>
      </c>
      <c r="F9" s="9">
        <v>300</v>
      </c>
      <c r="G9" s="9">
        <v>100</v>
      </c>
      <c r="H9" s="9">
        <f>+SUM(D9:G9)</f>
        <v>1300</v>
      </c>
    </row>
    <row r="10" spans="2:8">
      <c r="B10" t="s">
        <v>7</v>
      </c>
      <c r="C10" s="9">
        <v>-1000</v>
      </c>
      <c r="D10" s="9">
        <v>100</v>
      </c>
      <c r="E10" s="9">
        <v>300</v>
      </c>
      <c r="F10" s="9">
        <v>400</v>
      </c>
      <c r="G10" s="9">
        <v>675</v>
      </c>
      <c r="H10" s="9">
        <f>+SUM(D10:G10)</f>
        <v>1475</v>
      </c>
    </row>
    <row r="12" spans="2:8">
      <c r="B12" t="s">
        <v>6</v>
      </c>
      <c r="C12" s="6">
        <f>+C9/(1+$C$5)^C$8</f>
        <v>-1000</v>
      </c>
      <c r="D12" s="6">
        <f t="shared" ref="D12:G13" si="0">+D9/(1+$C$5)^D$8</f>
        <v>454.5454545454545</v>
      </c>
      <c r="E12" s="6">
        <f t="shared" si="0"/>
        <v>330.57851239669418</v>
      </c>
      <c r="F12" s="6">
        <f t="shared" si="0"/>
        <v>225.39444027047327</v>
      </c>
      <c r="G12" s="6">
        <f t="shared" si="0"/>
        <v>68.301345536507057</v>
      </c>
    </row>
    <row r="13" spans="2:8">
      <c r="B13" t="s">
        <v>7</v>
      </c>
      <c r="C13" s="6">
        <f>+C10/(1+$C$5)^C$8</f>
        <v>-1000</v>
      </c>
      <c r="D13" s="6">
        <f t="shared" si="0"/>
        <v>90.909090909090907</v>
      </c>
      <c r="E13" s="6">
        <f t="shared" si="0"/>
        <v>247.93388429752062</v>
      </c>
      <c r="F13" s="6">
        <f t="shared" si="0"/>
        <v>300.52592036063101</v>
      </c>
      <c r="G13" s="6">
        <f t="shared" si="0"/>
        <v>461.03408237142258</v>
      </c>
    </row>
    <row r="15" spans="2:8">
      <c r="B15" t="s">
        <v>8</v>
      </c>
      <c r="C15" s="6">
        <f>+SUM(C12:G12)</f>
        <v>78.819752749129009</v>
      </c>
    </row>
    <row r="16" spans="2:8">
      <c r="B16" t="s">
        <v>9</v>
      </c>
      <c r="C16" s="6">
        <f>+SUM(C13:G13)</f>
        <v>100.40297793866512</v>
      </c>
    </row>
  </sheetData>
  <mergeCells count="2">
    <mergeCell ref="D7:G7"/>
    <mergeCell ref="H7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F18C-AD95-4666-A443-19F58340DDF3}">
  <dimension ref="B2:H66"/>
  <sheetViews>
    <sheetView workbookViewId="0"/>
  </sheetViews>
  <sheetFormatPr defaultColWidth="11.42578125" defaultRowHeight="15"/>
  <cols>
    <col min="2" max="2" width="12.7109375" bestFit="1" customWidth="1"/>
    <col min="3" max="3" width="13.7109375" customWidth="1"/>
    <col min="4" max="7" width="15.7109375" customWidth="1"/>
  </cols>
  <sheetData>
    <row r="2" spans="2:8">
      <c r="B2" s="1">
        <v>0.1</v>
      </c>
      <c r="C2" s="1">
        <f>1+B2</f>
        <v>1.1000000000000001</v>
      </c>
    </row>
    <row r="4" spans="2:8">
      <c r="C4">
        <v>0</v>
      </c>
      <c r="D4">
        <v>1</v>
      </c>
      <c r="E4">
        <v>2</v>
      </c>
      <c r="F4">
        <v>3</v>
      </c>
      <c r="G4">
        <v>4</v>
      </c>
      <c r="H4">
        <v>5</v>
      </c>
    </row>
    <row r="5" spans="2:8">
      <c r="B5" t="s">
        <v>10</v>
      </c>
      <c r="C5">
        <v>-1000</v>
      </c>
      <c r="D5">
        <v>100</v>
      </c>
      <c r="E5">
        <v>100</v>
      </c>
      <c r="F5">
        <v>100</v>
      </c>
      <c r="G5">
        <v>100</v>
      </c>
      <c r="H5">
        <v>1100</v>
      </c>
    </row>
    <row r="6" spans="2:8">
      <c r="B6" s="11">
        <f>+SUM(C6:H6)</f>
        <v>0</v>
      </c>
      <c r="C6">
        <f t="shared" ref="C6:H6" si="0">+C5/$C$2^C4</f>
        <v>-1000</v>
      </c>
      <c r="D6">
        <f t="shared" si="0"/>
        <v>90.909090909090907</v>
      </c>
      <c r="E6">
        <f t="shared" si="0"/>
        <v>82.644628099173545</v>
      </c>
      <c r="F6">
        <f t="shared" si="0"/>
        <v>75.131480090157751</v>
      </c>
      <c r="G6">
        <f t="shared" si="0"/>
        <v>68.301345536507057</v>
      </c>
      <c r="H6">
        <f t="shared" si="0"/>
        <v>683.01345536507051</v>
      </c>
    </row>
    <row r="8" spans="2:8">
      <c r="B8" t="s">
        <v>11</v>
      </c>
    </row>
    <row r="9" spans="2:8">
      <c r="B9" t="s">
        <v>12</v>
      </c>
    </row>
    <row r="12" spans="2:8">
      <c r="B12" t="s">
        <v>0</v>
      </c>
    </row>
    <row r="14" spans="2:8">
      <c r="B14" t="s">
        <v>13</v>
      </c>
      <c r="C14" s="12">
        <f>+IRR(C19:G19,0.08)</f>
        <v>0.14488844278585589</v>
      </c>
    </row>
    <row r="15" spans="2:8">
      <c r="B15" t="s">
        <v>14</v>
      </c>
      <c r="C15" s="12">
        <f>+IRR(C20:G20,0.08)</f>
        <v>0.13549204147232796</v>
      </c>
    </row>
    <row r="16" spans="2:8" ht="15.75" thickBot="1">
      <c r="C16" s="1"/>
    </row>
    <row r="17" spans="2:8" ht="15.75" thickBot="1">
      <c r="C17" s="7" t="s">
        <v>2</v>
      </c>
      <c r="D17" s="19" t="s">
        <v>3</v>
      </c>
      <c r="E17" s="20"/>
      <c r="F17" s="20"/>
      <c r="G17" s="21"/>
      <c r="H17" s="22" t="s">
        <v>4</v>
      </c>
    </row>
    <row r="18" spans="2:8" ht="15.75" thickBot="1">
      <c r="B18" t="s">
        <v>5</v>
      </c>
      <c r="C18" s="7">
        <v>0</v>
      </c>
      <c r="D18" s="7">
        <v>1</v>
      </c>
      <c r="E18" s="7">
        <v>2</v>
      </c>
      <c r="F18" s="7">
        <v>3</v>
      </c>
      <c r="G18" s="3">
        <v>4</v>
      </c>
      <c r="H18" s="23"/>
    </row>
    <row r="19" spans="2:8">
      <c r="B19" t="s">
        <v>6</v>
      </c>
      <c r="C19" s="9">
        <v>-1000</v>
      </c>
      <c r="D19" s="9">
        <v>500</v>
      </c>
      <c r="E19" s="9">
        <v>400</v>
      </c>
      <c r="F19" s="9">
        <v>300</v>
      </c>
      <c r="G19" s="9">
        <v>100</v>
      </c>
      <c r="H19" s="9">
        <f>+SUM(D19:G19)</f>
        <v>1300</v>
      </c>
    </row>
    <row r="20" spans="2:8">
      <c r="B20" t="s">
        <v>7</v>
      </c>
      <c r="C20" s="9">
        <v>-1000</v>
      </c>
      <c r="D20" s="9">
        <v>100</v>
      </c>
      <c r="E20" s="9">
        <v>300</v>
      </c>
      <c r="F20" s="9">
        <v>400</v>
      </c>
      <c r="G20" s="9">
        <v>675</v>
      </c>
      <c r="H20" s="9">
        <f>+SUM(D20:G20)</f>
        <v>1475</v>
      </c>
    </row>
    <row r="22" spans="2:8">
      <c r="B22" t="s">
        <v>6</v>
      </c>
      <c r="C22" s="6">
        <f>+C19/(1+$C$14)^C$18</f>
        <v>-1000</v>
      </c>
      <c r="D22" s="6">
        <f t="shared" ref="D22:G22" si="1">+D19/(1+$C$14)^D$18</f>
        <v>436.72377265277527</v>
      </c>
      <c r="E22" s="6">
        <f t="shared" si="1"/>
        <v>305.16424576011667</v>
      </c>
      <c r="F22" s="6">
        <f t="shared" si="1"/>
        <v>199.90872103064521</v>
      </c>
      <c r="G22" s="6">
        <f t="shared" si="1"/>
        <v>58.20326055646305</v>
      </c>
    </row>
    <row r="23" spans="2:8">
      <c r="B23" t="s">
        <v>7</v>
      </c>
      <c r="C23" s="6">
        <f>+C20/(1+$C$15)^C$18</f>
        <v>-1000</v>
      </c>
      <c r="D23" s="6">
        <f t="shared" ref="D23:G23" si="2">+D20/(1+$C$15)^D$18</f>
        <v>88.067548118026167</v>
      </c>
      <c r="E23" s="6">
        <f t="shared" si="2"/>
        <v>232.67679094562558</v>
      </c>
      <c r="F23" s="6">
        <f t="shared" si="2"/>
        <v>273.21699310069062</v>
      </c>
      <c r="G23" s="6">
        <f t="shared" si="2"/>
        <v>406.03866783565769</v>
      </c>
    </row>
    <row r="25" spans="2:8">
      <c r="B25" t="s">
        <v>8</v>
      </c>
      <c r="C25" s="6">
        <f>+SUM(C22:G22)</f>
        <v>2.5579538487363607E-13</v>
      </c>
    </row>
    <row r="26" spans="2:8">
      <c r="B26" t="s">
        <v>9</v>
      </c>
      <c r="C26" s="6">
        <f>+SUM(C23:G23)</f>
        <v>0</v>
      </c>
    </row>
    <row r="30" spans="2:8">
      <c r="B30" t="s">
        <v>15</v>
      </c>
    </row>
    <row r="32" spans="2:8">
      <c r="B32" t="s">
        <v>16</v>
      </c>
      <c r="C32" s="12">
        <f>+IRR(C37:G37,0.08)</f>
        <v>0.18005373416850756</v>
      </c>
    </row>
    <row r="33" spans="2:7">
      <c r="B33" t="s">
        <v>17</v>
      </c>
      <c r="C33" s="12">
        <f>+IRR(C38:G38,0.08)</f>
        <v>0.15559128051834392</v>
      </c>
    </row>
    <row r="34" spans="2:7" ht="15.75" thickBot="1">
      <c r="C34" s="1"/>
    </row>
    <row r="35" spans="2:7" ht="15.75" customHeight="1" thickBot="1">
      <c r="C35" s="7" t="s">
        <v>2</v>
      </c>
      <c r="D35" s="19" t="s">
        <v>3</v>
      </c>
      <c r="E35" s="20"/>
      <c r="F35" s="20"/>
      <c r="G35" s="21"/>
    </row>
    <row r="36" spans="2:7" ht="15.75" thickBot="1">
      <c r="B36" t="s">
        <v>5</v>
      </c>
      <c r="C36" s="7">
        <v>0</v>
      </c>
      <c r="D36" s="7">
        <v>1</v>
      </c>
      <c r="E36" s="7">
        <v>2</v>
      </c>
      <c r="F36" s="7">
        <v>3</v>
      </c>
      <c r="G36" s="3">
        <v>4</v>
      </c>
    </row>
    <row r="37" spans="2:7">
      <c r="B37" t="s">
        <v>18</v>
      </c>
      <c r="C37" s="9">
        <v>-700</v>
      </c>
      <c r="D37" s="9">
        <v>500</v>
      </c>
      <c r="E37" s="9">
        <v>300</v>
      </c>
      <c r="F37" s="9">
        <v>100</v>
      </c>
      <c r="G37" s="9"/>
    </row>
    <row r="38" spans="2:7">
      <c r="B38" t="s">
        <v>19</v>
      </c>
      <c r="C38" s="9">
        <v>-700</v>
      </c>
      <c r="D38" s="9">
        <v>100</v>
      </c>
      <c r="E38" s="9">
        <v>300</v>
      </c>
      <c r="F38" s="9">
        <v>600</v>
      </c>
      <c r="G38" s="9"/>
    </row>
    <row r="40" spans="2:7">
      <c r="B40" t="s">
        <v>6</v>
      </c>
      <c r="C40" s="6">
        <f>+C37/(1+C32)^C36</f>
        <v>-700</v>
      </c>
      <c r="D40" s="6">
        <f>+D37/(1+C32)^D36</f>
        <v>423.70951891636633</v>
      </c>
      <c r="E40" s="6">
        <f>+E37/(1+C32)^E36</f>
        <v>215.43570770440633</v>
      </c>
      <c r="F40" s="6">
        <f>+F37/(1+C32)^F36</f>
        <v>60.854773379227282</v>
      </c>
      <c r="G40" s="6"/>
    </row>
    <row r="41" spans="2:7">
      <c r="B41" t="s">
        <v>7</v>
      </c>
      <c r="C41" s="6">
        <f>+C38/(1+C33)^C36</f>
        <v>-700</v>
      </c>
      <c r="D41" s="6">
        <f>+D38/(1+C33)^D36</f>
        <v>86.535786212530695</v>
      </c>
      <c r="E41" s="6">
        <f>+E38/(1+C33)^E36</f>
        <v>224.65326886262454</v>
      </c>
      <c r="F41" s="6">
        <f>+F38/(1+C33)^F36</f>
        <v>388.8109449248451</v>
      </c>
      <c r="G41" s="6"/>
    </row>
    <row r="43" spans="2:7">
      <c r="B43" t="s">
        <v>8</v>
      </c>
      <c r="C43" s="6">
        <f>+SUM(C40:G40)</f>
        <v>-5.6843418860808015E-14</v>
      </c>
    </row>
    <row r="44" spans="2:7">
      <c r="B44" t="s">
        <v>9</v>
      </c>
      <c r="C44" s="6">
        <f>+SUM(C41:G41)</f>
        <v>0</v>
      </c>
    </row>
    <row r="46" spans="2:7">
      <c r="B46" t="s">
        <v>20</v>
      </c>
    </row>
    <row r="47" spans="2:7">
      <c r="B47" t="s">
        <v>21</v>
      </c>
    </row>
    <row r="48" spans="2:7">
      <c r="B48" t="s">
        <v>22</v>
      </c>
    </row>
    <row r="50" spans="2:7">
      <c r="B50" t="s">
        <v>23</v>
      </c>
    </row>
    <row r="52" spans="2:7">
      <c r="B52" t="s">
        <v>15</v>
      </c>
    </row>
    <row r="54" spans="2:7">
      <c r="B54" t="s">
        <v>16</v>
      </c>
      <c r="C54" s="12">
        <v>0.1</v>
      </c>
    </row>
    <row r="55" spans="2:7">
      <c r="B55" t="s">
        <v>17</v>
      </c>
      <c r="C55" s="12">
        <v>0.1</v>
      </c>
    </row>
    <row r="56" spans="2:7" ht="15.75" thickBot="1">
      <c r="C56" s="1"/>
    </row>
    <row r="57" spans="2:7" ht="15.75" thickBot="1">
      <c r="C57" s="4" t="s">
        <v>2</v>
      </c>
      <c r="D57" s="19" t="s">
        <v>3</v>
      </c>
      <c r="E57" s="20"/>
      <c r="F57" s="20"/>
      <c r="G57" s="21"/>
    </row>
    <row r="58" spans="2:7" ht="15.75" thickBot="1">
      <c r="B58" t="s">
        <v>5</v>
      </c>
      <c r="C58" s="7">
        <v>0</v>
      </c>
      <c r="D58" s="7">
        <v>1</v>
      </c>
      <c r="E58" s="7">
        <v>2</v>
      </c>
      <c r="F58" s="7">
        <v>3</v>
      </c>
      <c r="G58" s="3">
        <v>4</v>
      </c>
    </row>
    <row r="59" spans="2:7">
      <c r="B59" t="s">
        <v>18</v>
      </c>
      <c r="C59" s="9">
        <v>-700</v>
      </c>
      <c r="D59" s="9">
        <v>500</v>
      </c>
      <c r="E59" s="9">
        <v>300</v>
      </c>
      <c r="F59" s="9">
        <v>100</v>
      </c>
      <c r="G59" s="9"/>
    </row>
    <row r="60" spans="2:7">
      <c r="B60" t="s">
        <v>19</v>
      </c>
      <c r="C60" s="9">
        <v>-700</v>
      </c>
      <c r="D60" s="9">
        <v>100</v>
      </c>
      <c r="E60" s="9">
        <v>300</v>
      </c>
      <c r="F60" s="9">
        <v>600</v>
      </c>
      <c r="G60" s="9"/>
    </row>
    <row r="62" spans="2:7">
      <c r="B62" t="s">
        <v>18</v>
      </c>
      <c r="C62" s="6">
        <f>+C59/(1+C54)^C58</f>
        <v>-700</v>
      </c>
      <c r="D62" s="6">
        <f>+D59/(1+C54)^D58</f>
        <v>454.5454545454545</v>
      </c>
      <c r="E62" s="6">
        <f>+E59/(1+C54)^E58</f>
        <v>247.93388429752062</v>
      </c>
      <c r="F62" s="6">
        <f>+F59/(1+C54)^F58</f>
        <v>75.131480090157751</v>
      </c>
      <c r="G62" s="6"/>
    </row>
    <row r="63" spans="2:7">
      <c r="B63" t="s">
        <v>19</v>
      </c>
      <c r="C63" s="6">
        <f>+C60/(1+C55)^C58</f>
        <v>-700</v>
      </c>
      <c r="D63" s="6">
        <f>+D60/(1+C55)^D58</f>
        <v>90.909090909090907</v>
      </c>
      <c r="E63" s="6">
        <f>+E60/(1+C55)^E58</f>
        <v>247.93388429752062</v>
      </c>
      <c r="F63" s="6">
        <f>+F60/(1+C55)^F58</f>
        <v>450.78888054094654</v>
      </c>
      <c r="G63" s="6"/>
    </row>
    <row r="65" spans="2:4">
      <c r="B65" t="s">
        <v>24</v>
      </c>
      <c r="C65" s="6">
        <f>+SUM(C62:G62)</f>
        <v>77.610818933132876</v>
      </c>
    </row>
    <row r="66" spans="2:4">
      <c r="B66" t="s">
        <v>25</v>
      </c>
      <c r="C66" s="6">
        <f>+SUM(C63:G63)</f>
        <v>89.631855747558063</v>
      </c>
      <c r="D66" t="s">
        <v>26</v>
      </c>
    </row>
  </sheetData>
  <mergeCells count="4">
    <mergeCell ref="D17:G17"/>
    <mergeCell ref="H17:H18"/>
    <mergeCell ref="D35:G35"/>
    <mergeCell ref="D57:G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D1B8-7325-49E7-BEBE-7C9255A794A7}">
  <dimension ref="B3:F38"/>
  <sheetViews>
    <sheetView workbookViewId="0"/>
  </sheetViews>
  <sheetFormatPr defaultColWidth="11.42578125" defaultRowHeight="15"/>
  <sheetData>
    <row r="3" spans="2:5">
      <c r="C3">
        <v>0</v>
      </c>
      <c r="D3">
        <v>1</v>
      </c>
      <c r="E3">
        <v>2</v>
      </c>
    </row>
    <row r="4" spans="2:5">
      <c r="C4">
        <v>-1.6</v>
      </c>
      <c r="D4">
        <v>10</v>
      </c>
      <c r="E4">
        <v>-10</v>
      </c>
    </row>
    <row r="6" spans="2:5">
      <c r="B6" t="s">
        <v>27</v>
      </c>
      <c r="C6" s="1">
        <f>+IRR(C4:E4,0.05)</f>
        <v>0.24999999999999756</v>
      </c>
    </row>
    <row r="8" spans="2:5">
      <c r="B8" t="s">
        <v>28</v>
      </c>
      <c r="D8" s="1">
        <v>4</v>
      </c>
    </row>
    <row r="10" spans="2:5">
      <c r="C10">
        <v>0</v>
      </c>
      <c r="D10">
        <v>1</v>
      </c>
      <c r="E10">
        <v>2</v>
      </c>
    </row>
    <row r="11" spans="2:5">
      <c r="B11" t="s">
        <v>29</v>
      </c>
      <c r="C11">
        <v>-1.6</v>
      </c>
      <c r="D11">
        <v>10</v>
      </c>
      <c r="E11">
        <v>-10</v>
      </c>
    </row>
    <row r="12" spans="2:5">
      <c r="B12" t="s">
        <v>30</v>
      </c>
      <c r="C12">
        <f>+C11/(1+$D$8)^C10</f>
        <v>-1.6</v>
      </c>
      <c r="D12">
        <f t="shared" ref="D12:E12" si="0">+D11/(1+$D$8)^D10</f>
        <v>2</v>
      </c>
      <c r="E12">
        <f t="shared" si="0"/>
        <v>-0.4</v>
      </c>
    </row>
    <row r="14" spans="2:5">
      <c r="B14" t="s">
        <v>10</v>
      </c>
      <c r="C14" s="8">
        <f>+SUM(C12:E12)</f>
        <v>0</v>
      </c>
    </row>
    <row r="16" spans="2:5">
      <c r="B16" t="s">
        <v>31</v>
      </c>
    </row>
    <row r="18" spans="2:6">
      <c r="B18" t="s">
        <v>32</v>
      </c>
    </row>
    <row r="19" spans="2:6">
      <c r="B19" t="s">
        <v>33</v>
      </c>
    </row>
    <row r="21" spans="2:6">
      <c r="C21">
        <v>0</v>
      </c>
      <c r="D21">
        <v>1</v>
      </c>
      <c r="E21">
        <v>2</v>
      </c>
    </row>
    <row r="22" spans="2:6">
      <c r="B22" t="s">
        <v>29</v>
      </c>
      <c r="C22">
        <v>-1.6</v>
      </c>
      <c r="D22">
        <v>10</v>
      </c>
      <c r="E22">
        <v>-10</v>
      </c>
    </row>
    <row r="23" spans="2:6">
      <c r="B23" t="s">
        <v>30</v>
      </c>
      <c r="C23">
        <f>+C22/(1+$D$8)^C21</f>
        <v>-1.6</v>
      </c>
      <c r="D23">
        <f t="shared" ref="D23" si="1">+D22/(1+$D$8)^D21</f>
        <v>2</v>
      </c>
      <c r="E23" s="14">
        <f>+E22/(1+0.1)^E21</f>
        <v>-8.2644628099173545</v>
      </c>
      <c r="F23" t="s">
        <v>34</v>
      </c>
    </row>
    <row r="26" spans="2:6">
      <c r="C26">
        <v>0</v>
      </c>
      <c r="D26">
        <v>1</v>
      </c>
    </row>
    <row r="27" spans="2:6">
      <c r="B27" t="s">
        <v>29</v>
      </c>
      <c r="C27" s="13">
        <f>+C23+E23</f>
        <v>-9.8644628099173541</v>
      </c>
      <c r="D27">
        <f>+D22</f>
        <v>10</v>
      </c>
    </row>
    <row r="28" spans="2:6">
      <c r="B28" t="s">
        <v>30</v>
      </c>
    </row>
    <row r="30" spans="2:6">
      <c r="B30" t="s">
        <v>27</v>
      </c>
      <c r="C30" s="12">
        <f>+IRR(C27:D27,0.05)</f>
        <v>1.3739946380697088E-2</v>
      </c>
      <c r="E30" t="s">
        <v>35</v>
      </c>
    </row>
    <row r="32" spans="2:6">
      <c r="B32" t="s">
        <v>36</v>
      </c>
      <c r="D32" s="1">
        <v>0.1</v>
      </c>
    </row>
    <row r="34" spans="2:5">
      <c r="C34">
        <v>0</v>
      </c>
      <c r="D34">
        <v>1</v>
      </c>
      <c r="E34">
        <v>2</v>
      </c>
    </row>
    <row r="35" spans="2:5">
      <c r="B35" t="s">
        <v>29</v>
      </c>
      <c r="C35">
        <v>-1.6</v>
      </c>
      <c r="D35">
        <v>10</v>
      </c>
      <c r="E35">
        <v>-10</v>
      </c>
    </row>
    <row r="36" spans="2:5">
      <c r="B36" t="s">
        <v>30</v>
      </c>
      <c r="C36">
        <f>+C35/(1+0.1)^C34</f>
        <v>-1.6</v>
      </c>
      <c r="D36">
        <f t="shared" ref="D36:E36" si="2">+D35/(1+0.1)^D34</f>
        <v>9.0909090909090899</v>
      </c>
      <c r="E36">
        <f t="shared" si="2"/>
        <v>-8.2644628099173545</v>
      </c>
    </row>
    <row r="38" spans="2:5">
      <c r="B38" t="s">
        <v>10</v>
      </c>
      <c r="C38" s="10">
        <f>+SUM(C36:E36)</f>
        <v>-0.7735537190082642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39339-759A-4792-B359-1875348A4EE2}">
  <dimension ref="B3:H41"/>
  <sheetViews>
    <sheetView workbookViewId="0"/>
  </sheetViews>
  <sheetFormatPr defaultColWidth="11.42578125" defaultRowHeight="15"/>
  <cols>
    <col min="2" max="2" width="12.28515625" customWidth="1"/>
    <col min="3" max="3" width="14.85546875" customWidth="1"/>
    <col min="4" max="7" width="20.7109375" customWidth="1"/>
  </cols>
  <sheetData>
    <row r="3" spans="2:8">
      <c r="B3" t="s">
        <v>37</v>
      </c>
    </row>
    <row r="5" spans="2:8">
      <c r="B5" t="s">
        <v>1</v>
      </c>
      <c r="C5" s="12">
        <v>0.1</v>
      </c>
    </row>
    <row r="6" spans="2:8">
      <c r="C6" s="12"/>
    </row>
    <row r="7" spans="2:8" ht="15.75" thickBot="1">
      <c r="C7" s="1"/>
    </row>
    <row r="8" spans="2:8" ht="15.75" customHeight="1" thickBot="1">
      <c r="C8" s="7" t="s">
        <v>2</v>
      </c>
      <c r="D8" s="19" t="s">
        <v>3</v>
      </c>
      <c r="E8" s="20"/>
      <c r="F8" s="20"/>
      <c r="G8" s="21"/>
    </row>
    <row r="9" spans="2:8" ht="15.75" thickBot="1">
      <c r="B9" t="s">
        <v>5</v>
      </c>
      <c r="C9" s="7">
        <v>0</v>
      </c>
      <c r="D9" s="7">
        <v>1</v>
      </c>
      <c r="E9" s="7">
        <v>2</v>
      </c>
      <c r="F9" s="7">
        <v>3</v>
      </c>
      <c r="G9" s="3">
        <v>4</v>
      </c>
    </row>
    <row r="10" spans="2:8">
      <c r="B10" t="s">
        <v>6</v>
      </c>
      <c r="C10" s="9">
        <v>-1000</v>
      </c>
      <c r="D10" s="9">
        <v>500</v>
      </c>
      <c r="E10" s="9">
        <v>400</v>
      </c>
      <c r="F10" s="9">
        <v>300</v>
      </c>
      <c r="G10" s="9">
        <v>100</v>
      </c>
    </row>
    <row r="11" spans="2:8">
      <c r="C11" s="9"/>
      <c r="D11" s="9"/>
      <c r="E11" s="9"/>
      <c r="F11" s="9"/>
      <c r="G11" s="9"/>
    </row>
    <row r="12" spans="2:8">
      <c r="B12" t="s">
        <v>38</v>
      </c>
      <c r="D12" s="9">
        <f>+D10*(1+$C$5)^($G$9-D9)</f>
        <v>665.50000000000023</v>
      </c>
      <c r="E12" s="9">
        <f t="shared" ref="E12:G12" si="0">+E10*(1+$C$5)^($G$9-E9)</f>
        <v>484.00000000000006</v>
      </c>
      <c r="F12" s="9">
        <f t="shared" si="0"/>
        <v>330</v>
      </c>
      <c r="G12" s="9">
        <f t="shared" si="0"/>
        <v>100</v>
      </c>
      <c r="H12" s="16">
        <f>SUM(D12:G12)</f>
        <v>1579.5000000000002</v>
      </c>
    </row>
    <row r="13" spans="2:8">
      <c r="C13" s="6"/>
      <c r="D13" s="6"/>
      <c r="E13" s="6"/>
      <c r="F13" s="6"/>
      <c r="G13" s="6"/>
    </row>
    <row r="14" spans="2:8">
      <c r="B14" t="s">
        <v>39</v>
      </c>
      <c r="C14" s="6"/>
      <c r="D14" s="6"/>
      <c r="E14" s="6"/>
      <c r="F14" s="6"/>
      <c r="G14" s="6"/>
    </row>
    <row r="16" spans="2:8">
      <c r="B16" t="s">
        <v>40</v>
      </c>
      <c r="C16" s="15">
        <f>+C10</f>
        <v>-1000</v>
      </c>
    </row>
    <row r="17" spans="2:6">
      <c r="B17" t="s">
        <v>41</v>
      </c>
      <c r="C17" s="5">
        <v>4</v>
      </c>
    </row>
    <row r="18" spans="2:6">
      <c r="B18" t="s">
        <v>42</v>
      </c>
      <c r="C18" s="15">
        <v>0</v>
      </c>
      <c r="D18" t="s">
        <v>43</v>
      </c>
    </row>
    <row r="19" spans="2:6">
      <c r="B19" t="s">
        <v>44</v>
      </c>
      <c r="C19" s="16">
        <f>+H12</f>
        <v>1579.5000000000002</v>
      </c>
    </row>
    <row r="21" spans="2:6">
      <c r="B21" t="s">
        <v>45</v>
      </c>
      <c r="C21" s="12">
        <f>+RATE(C17,C18,C16,C19,0,0.08)</f>
        <v>0.12106271186727324</v>
      </c>
      <c r="D21" t="s">
        <v>46</v>
      </c>
      <c r="E21" s="12">
        <f>+TIR!C14</f>
        <v>0.14488844278585589</v>
      </c>
    </row>
    <row r="23" spans="2:6">
      <c r="B23" t="s">
        <v>47</v>
      </c>
    </row>
    <row r="24" spans="2:6">
      <c r="B24" t="s">
        <v>1</v>
      </c>
      <c r="C24" s="1">
        <v>0.1</v>
      </c>
    </row>
    <row r="25" spans="2:6">
      <c r="D25">
        <v>0</v>
      </c>
      <c r="E25">
        <v>1</v>
      </c>
      <c r="F25">
        <v>2</v>
      </c>
    </row>
    <row r="26" spans="2:6">
      <c r="B26" t="s">
        <v>48</v>
      </c>
      <c r="D26" s="9">
        <v>-1000</v>
      </c>
      <c r="E26" s="9">
        <v>1150</v>
      </c>
      <c r="F26" s="9">
        <v>100</v>
      </c>
    </row>
    <row r="27" spans="2:6">
      <c r="B27" t="s">
        <v>49</v>
      </c>
      <c r="D27" s="9">
        <v>-1000</v>
      </c>
      <c r="E27" s="9">
        <v>100</v>
      </c>
      <c r="F27" s="9">
        <v>1300</v>
      </c>
    </row>
    <row r="29" spans="2:6">
      <c r="B29" t="s">
        <v>50</v>
      </c>
      <c r="D29" s="9">
        <f>+D26/(1+$C$24)^D$25</f>
        <v>-1000</v>
      </c>
      <c r="E29" s="9">
        <f t="shared" ref="E29:F29" si="1">+E26/(1+$C$24)^E$25</f>
        <v>1045.4545454545453</v>
      </c>
      <c r="F29" s="9">
        <f t="shared" si="1"/>
        <v>82.644628099173545</v>
      </c>
    </row>
    <row r="30" spans="2:6">
      <c r="B30" t="s">
        <v>51</v>
      </c>
      <c r="D30" s="9">
        <f t="shared" ref="D30:F30" si="2">+D27/(1+$C$24)^D$25</f>
        <v>-1000</v>
      </c>
      <c r="E30" s="9">
        <f t="shared" si="2"/>
        <v>90.909090909090907</v>
      </c>
      <c r="F30" s="9">
        <f t="shared" si="2"/>
        <v>1074.380165289256</v>
      </c>
    </row>
    <row r="32" spans="2:6">
      <c r="B32" t="s">
        <v>52</v>
      </c>
      <c r="E32">
        <f>+E26*(1+$C$24)^($F$25-E$25)</f>
        <v>1265</v>
      </c>
      <c r="F32">
        <f t="shared" ref="F32:F33" si="3">+F26*(1+$C$24)^($F$25-F$25)</f>
        <v>100</v>
      </c>
    </row>
    <row r="33" spans="2:7">
      <c r="B33" t="s">
        <v>53</v>
      </c>
      <c r="E33">
        <f t="shared" ref="E33" si="4">+E27*(1+$C$24)^($F$25-E$25)</f>
        <v>110.00000000000001</v>
      </c>
      <c r="F33">
        <f t="shared" si="3"/>
        <v>1300</v>
      </c>
    </row>
    <row r="34" spans="2:7">
      <c r="G34" s="15"/>
    </row>
    <row r="35" spans="2:7">
      <c r="D35" s="15">
        <f>+D29</f>
        <v>-1000</v>
      </c>
      <c r="E35" s="15">
        <v>0</v>
      </c>
      <c r="F35" s="15">
        <f>+SUM(E32:F32)</f>
        <v>1365</v>
      </c>
      <c r="G35" s="15"/>
    </row>
    <row r="36" spans="2:7">
      <c r="D36" s="15">
        <f>+D30</f>
        <v>-1000</v>
      </c>
      <c r="E36" s="15">
        <v>0</v>
      </c>
      <c r="F36" s="15">
        <f>+SUM(E33:F33)</f>
        <v>1410</v>
      </c>
      <c r="G36" s="15"/>
    </row>
    <row r="38" spans="2:7">
      <c r="C38" s="2" t="s">
        <v>54</v>
      </c>
      <c r="D38" s="2" t="s">
        <v>55</v>
      </c>
    </row>
    <row r="39" spans="2:7">
      <c r="B39" t="s">
        <v>27</v>
      </c>
      <c r="C39" s="17">
        <f>+IRR(D26:F26)</f>
        <v>0.23122023742033426</v>
      </c>
      <c r="D39" s="17">
        <f>+IRR(D27:F27)</f>
        <v>0.19127122105133276</v>
      </c>
    </row>
    <row r="40" spans="2:7">
      <c r="B40" t="s">
        <v>10</v>
      </c>
      <c r="C40" s="18">
        <f>+SUM(D29:F29)</f>
        <v>128.0991735537188</v>
      </c>
      <c r="D40" s="18">
        <f>+SUM(D30:F30)</f>
        <v>165.28925619834683</v>
      </c>
    </row>
    <row r="41" spans="2:7">
      <c r="B41" t="s">
        <v>45</v>
      </c>
      <c r="C41" s="17">
        <f>+IRR(D35:F35)</f>
        <v>0.16833214455305767</v>
      </c>
      <c r="D41" s="17">
        <f>+IRR(D36:F36)</f>
        <v>0.18743420870379168</v>
      </c>
    </row>
  </sheetData>
  <mergeCells count="1">
    <mergeCell ref="D8:G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0668E3FE9A3174EAF1AA80B147CEE15" ma:contentTypeVersion="4" ma:contentTypeDescription="Crear nuevo documento." ma:contentTypeScope="" ma:versionID="d29dfd9a9a7666034e5ad4f5ee96d9e6">
  <xsd:schema xmlns:xsd="http://www.w3.org/2001/XMLSchema" xmlns:xs="http://www.w3.org/2001/XMLSchema" xmlns:p="http://schemas.microsoft.com/office/2006/metadata/properties" xmlns:ns2="e0a2096b-51a3-4c59-a6bd-c7f798262ca8" targetNamespace="http://schemas.microsoft.com/office/2006/metadata/properties" ma:root="true" ma:fieldsID="bfc5d357d775e068c7ede3c89a10d3d3" ns2:_="">
    <xsd:import namespace="e0a2096b-51a3-4c59-a6bd-c7f798262c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2096b-51a3-4c59-a6bd-c7f798262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9C7EAA-A1D0-4105-B50E-F591FA288552}"/>
</file>

<file path=customXml/itemProps2.xml><?xml version="1.0" encoding="utf-8"?>
<ds:datastoreItem xmlns:ds="http://schemas.openxmlformats.org/officeDocument/2006/customXml" ds:itemID="{82A62417-7AF8-4B38-A51A-C3D9EB4C9670}"/>
</file>

<file path=customXml/itemProps3.xml><?xml version="1.0" encoding="utf-8"?>
<ds:datastoreItem xmlns:ds="http://schemas.openxmlformats.org/officeDocument/2006/customXml" ds:itemID="{394C12A8-2239-450C-957B-9A502277E8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GRINBLAT GUSTAVO GABRIEL</dc:creator>
  <cp:keywords/>
  <dc:description/>
  <cp:lastModifiedBy>Lidia Rosignuolo</cp:lastModifiedBy>
  <cp:revision/>
  <dcterms:created xsi:type="dcterms:W3CDTF">2024-04-28T15:11:11Z</dcterms:created>
  <dcterms:modified xsi:type="dcterms:W3CDTF">2024-05-06T23:08:15Z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0x01010020668E3FE9A3174EAF1AA80B147CEE15</vt:lpwstr>
  </property>
</Properties>
</file>