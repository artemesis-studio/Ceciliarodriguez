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98E11EAD-D764-4E1C-BE6B-19199D707EFB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DATOS PROY EXPANSION" sheetId="1" r:id="rId1"/>
    <sheet name="PROYECTO DE EXPANSION - CALCULO" sheetId="2" r:id="rId2"/>
    <sheet name="AMORT LINEAL - EXPANSION" sheetId="3" r:id="rId3"/>
    <sheet name="DATOS - ANÁLISIS DE REEMPLAZO" sheetId="4" r:id="rId4"/>
    <sheet name="PROY. DE REEMPLAZO - CALCULO" sheetId="5" r:id="rId5"/>
    <sheet name="SENSIBILIDAD RIESGO &quot;S&quot;" sheetId="8" r:id="rId6"/>
    <sheet name="CADENAS DE REEMPLAZO Y EA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5" l="1"/>
  <c r="G37" i="5"/>
  <c r="F5" i="2"/>
  <c r="G12" i="2"/>
  <c r="E59" i="9"/>
  <c r="E63" i="9" s="1"/>
  <c r="G59" i="9"/>
  <c r="G63" i="9" s="1"/>
  <c r="C54" i="9"/>
  <c r="C53" i="9"/>
  <c r="C46" i="9"/>
  <c r="C45" i="9"/>
  <c r="C38" i="9"/>
  <c r="C37" i="9"/>
  <c r="F29" i="9"/>
  <c r="F25" i="9"/>
  <c r="D25" i="9"/>
  <c r="D29" i="9" s="1"/>
  <c r="F27" i="9"/>
  <c r="C19" i="9"/>
  <c r="C18" i="9"/>
  <c r="J17" i="9"/>
  <c r="I17" i="9"/>
  <c r="H17" i="9"/>
  <c r="G17" i="9"/>
  <c r="F17" i="9"/>
  <c r="E17" i="9"/>
  <c r="D17" i="9"/>
  <c r="C10" i="9"/>
  <c r="C11" i="9"/>
  <c r="C7" i="9"/>
  <c r="C6" i="9"/>
  <c r="G48" i="8"/>
  <c r="G45" i="8"/>
  <c r="G44" i="8"/>
  <c r="G43" i="8"/>
  <c r="E47" i="8"/>
  <c r="F5" i="8"/>
  <c r="J9" i="8"/>
  <c r="I9" i="8"/>
  <c r="H9" i="8"/>
  <c r="G9" i="8"/>
  <c r="J14" i="8"/>
  <c r="I14" i="8"/>
  <c r="H14" i="8"/>
  <c r="G14" i="8"/>
  <c r="J11" i="8"/>
  <c r="I11" i="8"/>
  <c r="H11" i="8"/>
  <c r="G11" i="8"/>
  <c r="J10" i="8"/>
  <c r="I10" i="8"/>
  <c r="H10" i="8"/>
  <c r="G10" i="8"/>
  <c r="J33" i="8"/>
  <c r="I33" i="8"/>
  <c r="H33" i="8"/>
  <c r="G33" i="8"/>
  <c r="F33" i="8"/>
  <c r="J25" i="8"/>
  <c r="J26" i="8" s="1"/>
  <c r="J28" i="8" s="1"/>
  <c r="G9" i="2"/>
  <c r="H9" i="2"/>
  <c r="I9" i="2"/>
  <c r="J9" i="2"/>
  <c r="G47" i="8" l="1"/>
  <c r="G12" i="8"/>
  <c r="F31" i="8"/>
  <c r="H15" i="8"/>
  <c r="G15" i="8"/>
  <c r="I15" i="8"/>
  <c r="J15" i="8"/>
  <c r="I13" i="8"/>
  <c r="J13" i="8"/>
  <c r="H12" i="8"/>
  <c r="I12" i="8"/>
  <c r="J12" i="8"/>
  <c r="J56" i="5"/>
  <c r="I56" i="5"/>
  <c r="H56" i="5"/>
  <c r="G56" i="5"/>
  <c r="F56" i="5"/>
  <c r="J54" i="5"/>
  <c r="I54" i="5"/>
  <c r="H54" i="5"/>
  <c r="G54" i="5"/>
  <c r="J53" i="5"/>
  <c r="I53" i="5"/>
  <c r="H53" i="5"/>
  <c r="G53" i="5"/>
  <c r="J51" i="5"/>
  <c r="I51" i="5"/>
  <c r="H51" i="5"/>
  <c r="G51" i="5"/>
  <c r="J50" i="5"/>
  <c r="I50" i="5"/>
  <c r="H50" i="5"/>
  <c r="G50" i="5"/>
  <c r="E45" i="5"/>
  <c r="E44" i="5"/>
  <c r="E43" i="5"/>
  <c r="J37" i="5"/>
  <c r="I37" i="5"/>
  <c r="H37" i="5"/>
  <c r="F37" i="5"/>
  <c r="J28" i="5"/>
  <c r="J29" i="5" s="1"/>
  <c r="I28" i="5"/>
  <c r="I29" i="5" s="1"/>
  <c r="H28" i="5"/>
  <c r="H29" i="5" s="1"/>
  <c r="G28" i="5"/>
  <c r="G29" i="5" s="1"/>
  <c r="J16" i="8" l="1"/>
  <c r="J17" i="8" s="1"/>
  <c r="J18" i="8" s="1"/>
  <c r="J19" i="8" s="1"/>
  <c r="J21" i="8" s="1"/>
  <c r="J31" i="8" s="1"/>
  <c r="I16" i="8"/>
  <c r="I17" i="8" s="1"/>
  <c r="I18" i="8" s="1"/>
  <c r="I19" i="8" s="1"/>
  <c r="I21" i="8" s="1"/>
  <c r="I31" i="8" s="1"/>
  <c r="H13" i="8"/>
  <c r="H16" i="8" s="1"/>
  <c r="H17" i="8" s="1"/>
  <c r="H18" i="8" s="1"/>
  <c r="H19" i="8" s="1"/>
  <c r="H21" i="8" s="1"/>
  <c r="H31" i="8" s="1"/>
  <c r="G13" i="8"/>
  <c r="G16" i="8" s="1"/>
  <c r="G17" i="8" s="1"/>
  <c r="G18" i="8" s="1"/>
  <c r="G19" i="8" s="1"/>
  <c r="G21" i="8" s="1"/>
  <c r="G31" i="8" s="1"/>
  <c r="H30" i="5"/>
  <c r="H31" i="5" s="1"/>
  <c r="H33" i="5" s="1"/>
  <c r="J30" i="5"/>
  <c r="J31" i="5" s="1"/>
  <c r="J33" i="5" s="1"/>
  <c r="G30" i="5"/>
  <c r="G31" i="5" s="1"/>
  <c r="G33" i="5" s="1"/>
  <c r="I30" i="5"/>
  <c r="I31" i="5" s="1"/>
  <c r="I33" i="5" s="1"/>
  <c r="G12" i="5"/>
  <c r="H12" i="5"/>
  <c r="H13" i="5" s="1"/>
  <c r="H14" i="5" s="1"/>
  <c r="H15" i="5" s="1"/>
  <c r="H17" i="5" s="1"/>
  <c r="I12" i="5"/>
  <c r="I13" i="5" s="1"/>
  <c r="I14" i="5" s="1"/>
  <c r="I15" i="5" s="1"/>
  <c r="I17" i="5" s="1"/>
  <c r="J12" i="5"/>
  <c r="J13" i="5" s="1"/>
  <c r="J31" i="3"/>
  <c r="J28" i="3"/>
  <c r="J28" i="2"/>
  <c r="G13" i="2"/>
  <c r="J15" i="3"/>
  <c r="I15" i="3"/>
  <c r="H15" i="3"/>
  <c r="G15" i="3"/>
  <c r="F31" i="3"/>
  <c r="J26" i="3"/>
  <c r="J25" i="3"/>
  <c r="J14" i="3"/>
  <c r="I14" i="3"/>
  <c r="H14" i="3"/>
  <c r="G14" i="3"/>
  <c r="H13" i="3"/>
  <c r="J11" i="3"/>
  <c r="I11" i="3"/>
  <c r="I13" i="3" s="1"/>
  <c r="I16" i="3" s="1"/>
  <c r="H11" i="3"/>
  <c r="G11" i="3"/>
  <c r="G13" i="3" s="1"/>
  <c r="G16" i="3" s="1"/>
  <c r="J9" i="3"/>
  <c r="J13" i="3" s="1"/>
  <c r="J16" i="3" s="1"/>
  <c r="I9" i="3"/>
  <c r="I12" i="3" s="1"/>
  <c r="H9" i="3"/>
  <c r="H12" i="3" s="1"/>
  <c r="G9" i="3"/>
  <c r="G12" i="3" s="1"/>
  <c r="F31" i="2"/>
  <c r="J25" i="2"/>
  <c r="J26" i="2" s="1"/>
  <c r="J11" i="2"/>
  <c r="J13" i="2" s="1"/>
  <c r="I11" i="2"/>
  <c r="H11" i="2"/>
  <c r="G11" i="2"/>
  <c r="J15" i="2"/>
  <c r="I15" i="2"/>
  <c r="H15" i="2"/>
  <c r="G15" i="2"/>
  <c r="G16" i="2" s="1"/>
  <c r="J14" i="2"/>
  <c r="I14" i="2"/>
  <c r="H14" i="2"/>
  <c r="G14" i="2"/>
  <c r="J12" i="2"/>
  <c r="I12" i="2"/>
  <c r="H12" i="2"/>
  <c r="G8" i="1"/>
  <c r="E38" i="8" l="1"/>
  <c r="G13" i="5"/>
  <c r="G14" i="5" s="1"/>
  <c r="G15" i="5" s="1"/>
  <c r="G17" i="5" s="1"/>
  <c r="J14" i="5"/>
  <c r="J15" i="5" s="1"/>
  <c r="J17" i="5" s="1"/>
  <c r="F33" i="2"/>
  <c r="I17" i="3"/>
  <c r="G17" i="3"/>
  <c r="G18" i="3" s="1"/>
  <c r="G19" i="3" s="1"/>
  <c r="G21" i="3" s="1"/>
  <c r="G31" i="3" s="1"/>
  <c r="I13" i="2"/>
  <c r="H13" i="2"/>
  <c r="H16" i="2" s="1"/>
  <c r="H17" i="2" s="1"/>
  <c r="H16" i="3"/>
  <c r="H17" i="3"/>
  <c r="I18" i="3"/>
  <c r="I19" i="3"/>
  <c r="I21" i="3" s="1"/>
  <c r="I31" i="3" s="1"/>
  <c r="I33" i="2" s="1"/>
  <c r="H18" i="3"/>
  <c r="H19" i="3"/>
  <c r="H21" i="3" s="1"/>
  <c r="H31" i="3" s="1"/>
  <c r="H33" i="2" s="1"/>
  <c r="J12" i="3"/>
  <c r="J17" i="3" s="1"/>
  <c r="I16" i="2"/>
  <c r="I17" i="2" s="1"/>
  <c r="J16" i="2"/>
  <c r="J17" i="2" s="1"/>
  <c r="G17" i="2"/>
  <c r="G33" i="2" l="1"/>
  <c r="E41" i="3"/>
  <c r="F41" i="2"/>
  <c r="H18" i="2"/>
  <c r="H19" i="2" s="1"/>
  <c r="H21" i="2" s="1"/>
  <c r="H31" i="2" s="1"/>
  <c r="J18" i="2"/>
  <c r="J19" i="2" s="1"/>
  <c r="J21" i="2" s="1"/>
  <c r="J31" i="2" s="1"/>
  <c r="I18" i="2"/>
  <c r="I19" i="2" s="1"/>
  <c r="I21" i="2" s="1"/>
  <c r="I31" i="2" s="1"/>
  <c r="G18" i="2"/>
  <c r="G19" i="2" s="1"/>
  <c r="G21" i="2" s="1"/>
  <c r="G31" i="2" s="1"/>
  <c r="J18" i="3"/>
  <c r="J19" i="3" s="1"/>
  <c r="J21" i="3" s="1"/>
  <c r="J33" i="2" s="1"/>
  <c r="F40" i="2" s="1"/>
  <c r="E38" i="2" l="1"/>
  <c r="E41" i="2"/>
  <c r="F39" i="2"/>
  <c r="E38" i="3"/>
  <c r="F38" i="2" s="1"/>
  <c r="E40" i="2"/>
  <c r="E39" i="2"/>
</calcChain>
</file>

<file path=xl/sharedStrings.xml><?xml version="1.0" encoding="utf-8"?>
<sst xmlns="http://schemas.openxmlformats.org/spreadsheetml/2006/main" count="231" uniqueCount="117">
  <si>
    <t>CASO "S" DE ALLIED</t>
  </si>
  <si>
    <t>INVERSION INICIAL EN EQUIPO EN 2019</t>
  </si>
  <si>
    <t>INVENTARIO AUMENTA EN 2019</t>
  </si>
  <si>
    <t>CUENTAS POR PAGAR AUMENTAN EN 2019</t>
  </si>
  <si>
    <t>CAMBIO EN EL NOWC EN 2019</t>
  </si>
  <si>
    <t>N=</t>
  </si>
  <si>
    <t>AÑOS</t>
  </si>
  <si>
    <t>VENTAS</t>
  </si>
  <si>
    <t>UNIDADES</t>
  </si>
  <si>
    <t>PRECIO DE VENTA DE CADA UNIDAD</t>
  </si>
  <si>
    <t xml:space="preserve">COSTOS FIJOS DE ELABORACION </t>
  </si>
  <si>
    <t>POR AÑO</t>
  </si>
  <si>
    <t>COSTOS VARIABLES POR UNIDAD</t>
  </si>
  <si>
    <t>DEPRECIACIÓN ACELERADA Y LINEAL PARA VER SU IMPACTO</t>
  </si>
  <si>
    <t>VALOR DE RECUPERACIÓN DEL EQUIPO</t>
  </si>
  <si>
    <t>AL FINAL DEL PROYECTO EN 2023 ESPERA</t>
  </si>
  <si>
    <t>RECUPERAR EL NOWC DE</t>
  </si>
  <si>
    <t xml:space="preserve">LA TASA IMPOSITIVA ES DEL </t>
  </si>
  <si>
    <t xml:space="preserve">EL WACC CON BASE EN EL RIESGO PERCIBIDO SE CALCULA EN EL </t>
  </si>
  <si>
    <t>DESEMBOLSO INICIAL</t>
  </si>
  <si>
    <t>ACTIVOS FIJOS</t>
  </si>
  <si>
    <t>NOWC</t>
  </si>
  <si>
    <t>FLUJOS DE EFECTIVO DE OPERACIONES</t>
  </si>
  <si>
    <t>VENTAS EN UNIDADES</t>
  </si>
  <si>
    <t>PRECIO DE VENTA</t>
  </si>
  <si>
    <t>COSTO VARIABLE</t>
  </si>
  <si>
    <t>INGRESOS DE VENTAS</t>
  </si>
  <si>
    <t>COSTOS VARIABLES</t>
  </si>
  <si>
    <t>COSTOS FIJOS DE OPERACIÓN SIN D&amp;A</t>
  </si>
  <si>
    <t>DEPRECIACIÓN ACELERADA</t>
  </si>
  <si>
    <t>COSTOS TOTALES DE OPERACIÓN</t>
  </si>
  <si>
    <t>EBIT</t>
  </si>
  <si>
    <t>IMPUESTOS</t>
  </si>
  <si>
    <t>IMPUESTOS SOBRE INGRESOS DE OPERACIÓN</t>
  </si>
  <si>
    <t>EBIT * (1-T)</t>
  </si>
  <si>
    <t>EBIT * (1-T) + DEPRECIACIÓN ACELERADA</t>
  </si>
  <si>
    <t>FLUJOS DE EFECTIVO TERMINALES</t>
  </si>
  <si>
    <t>VALOR DE RECUPERACIÓN GRAVADO COMO INGRESO ORDINARIO</t>
  </si>
  <si>
    <t>IMPUESTOS SOBRE EL VALOR DE RECUPERACIÓN</t>
  </si>
  <si>
    <t>VALOR DE RECUPERACIÓN DESPUÉS DE IMPUESTOS</t>
  </si>
  <si>
    <t>FLUJOS DE EFECTIVOS DISPONIBLES DEL PROYECTO</t>
  </si>
  <si>
    <t>EBIT * (1-T) + D&amp;A - GASTOS EN ACTIVOS FIJOS - INCREMENTO NOWC</t>
  </si>
  <si>
    <t>CON DEPRECIACIÓN LINEAL</t>
  </si>
  <si>
    <t>EVALUACIÓN DEL PROYECTO CON EL WACC DEL</t>
  </si>
  <si>
    <t>NPV</t>
  </si>
  <si>
    <t>IRR</t>
  </si>
  <si>
    <t>MIRR</t>
  </si>
  <si>
    <t>PERIODO DE RECUPERACIÓN</t>
  </si>
  <si>
    <t>ACELERADA</t>
  </si>
  <si>
    <t>LINEAL</t>
  </si>
  <si>
    <t>o</t>
  </si>
  <si>
    <t>DÓNDE INCLUIRÍAMOS</t>
  </si>
  <si>
    <t>EFECTOS DE LA CANIBALIZACIÓN</t>
  </si>
  <si>
    <t>COSTOS DE OPORTUNIDAD DE ACTIVOS EXISTENTES</t>
  </si>
  <si>
    <t>COSTOS IRRECUPERABLES</t>
  </si>
  <si>
    <t>OTROS CAMBIOS</t>
  </si>
  <si>
    <t>NO SE NECESITA NOWC ADICIONAL</t>
  </si>
  <si>
    <t>DATOS QUE APLICAN A AMBAS MÁQUINAS</t>
  </si>
  <si>
    <t>INGRESOS POR VENTAS, CONSTANTES LOS 4 AÑOS</t>
  </si>
  <si>
    <t>VIDA ESPERADA DE LAS DOS MÁQUINAS</t>
  </si>
  <si>
    <t>WACC PARA EL ANÁLISIS</t>
  </si>
  <si>
    <t>TASA IMPOSITIVA</t>
  </si>
  <si>
    <t>DATOS PARA LA MÁQUINA ANTIGUA</t>
  </si>
  <si>
    <t>VALOR DE MERCADO DE (RECUP = CONTABLE) DE LA MAQ A HOY</t>
  </si>
  <si>
    <t>COSTOS LABORALES, DE MATERIALES Y OTROS POR AÑO</t>
  </si>
  <si>
    <t xml:space="preserve">DEPRECIACIÓN ANUAL DE LA MÁQUINA </t>
  </si>
  <si>
    <t>DATOS PARA LA MÁQUINA NUEVA</t>
  </si>
  <si>
    <t>COSTO DE ADQUISICIÓN</t>
  </si>
  <si>
    <t>DESEMBOLSO INICIAL MÁQUINA ANTIGUA</t>
  </si>
  <si>
    <t>COSTOS TOTALES DE OPERACIÓN SIN D&amp;A</t>
  </si>
  <si>
    <t>DEPRECIACIÓN LINEAL</t>
  </si>
  <si>
    <t>DESEMBOLSO INICIAL MÁQUINA NUEVA</t>
  </si>
  <si>
    <t>COSTO MENOS VENTA DE LA ANTIGUA</t>
  </si>
  <si>
    <t>FCF = EBIT * (1-T) + DEPRECIACIÓN - CAPEX - VAR. NOWC</t>
  </si>
  <si>
    <t>FLUJOS DE EFECTIVO INCREMENTALES Y EVALUACIÓN</t>
  </si>
  <si>
    <t>FC INCREMENTALES = CF Después - CF Antes</t>
  </si>
  <si>
    <t>OJO CON LA FÓRMULA DEL EXCEL</t>
  </si>
  <si>
    <t>TAMBIÉN SE PUEDE RESOLVER CON LOS CF INCREMENTALES</t>
  </si>
  <si>
    <t>COSTO DE REEMPLAZAR LA MÁQUINA</t>
  </si>
  <si>
    <t>AHORROS EN COSTOS</t>
  </si>
  <si>
    <t>INCREMENTO EN LA DEPRECIACIÓN</t>
  </si>
  <si>
    <t>AHORRO EN IMPUESTOS POR LA DEPRECIACIÓN</t>
  </si>
  <si>
    <t>CF INCREMENTALES</t>
  </si>
  <si>
    <t>AHORROS EN COSTOS DESPUÉS DE IMPUESTOS</t>
  </si>
  <si>
    <t>NO GENERA CF</t>
  </si>
  <si>
    <t>VARIAR A 1.25; 1.00 O 0.75</t>
  </si>
  <si>
    <t>PEOR ESCENARIO</t>
  </si>
  <si>
    <t>CASO BASE</t>
  </si>
  <si>
    <t>MEJOR ESCENARIO</t>
  </si>
  <si>
    <t>ANÁLISIS DE LOS DOS CASOS EXTREMOS, Y EL BASE, Y SU VARIABILIDAD CON RELACIÓN AL NPV</t>
  </si>
  <si>
    <t>PROB</t>
  </si>
  <si>
    <t>NPV PROMEDIO O ESPERADO</t>
  </si>
  <si>
    <t>DESVIO</t>
  </si>
  <si>
    <t>CV</t>
  </si>
  <si>
    <t xml:space="preserve">SI EL CV DEL PROYECTO PROMEDIO DE ALLIED ES DE 2.00, ESTO IMPLICA QUE ESTE PROYECTO </t>
  </si>
  <si>
    <t>ES MUCHO MÁS RIESGOSO Y DEBERÍA INCREMENTARSE EL WACC PARA AJUSTARSE AL RIESGO</t>
  </si>
  <si>
    <t>QUÉ PASARÍA SI ELEVAMOS EL WACC?</t>
  </si>
  <si>
    <t>A 12,5%</t>
  </si>
  <si>
    <t>A 15%</t>
  </si>
  <si>
    <t>PERO NO OLVIDEMOS QUE HEMOS ESTRESADO TODAS LAS VARIABLES AL MISMO TIEMPO</t>
  </si>
  <si>
    <t>PROYECTO C</t>
  </si>
  <si>
    <t>PROYECTO F</t>
  </si>
  <si>
    <t>WACC</t>
  </si>
  <si>
    <t>TIR</t>
  </si>
  <si>
    <t>CON CADENA DE REEMPLAZO EN PROYECTO F</t>
  </si>
  <si>
    <t>OBVIAMENTE COINCIDENTE CON LA ANTERIOR</t>
  </si>
  <si>
    <t>CON ANUALIDAD ANUAL EQUIVALENTE</t>
  </si>
  <si>
    <t>PV</t>
  </si>
  <si>
    <t>N</t>
  </si>
  <si>
    <t>FV</t>
  </si>
  <si>
    <t>PMT=EAA</t>
  </si>
  <si>
    <t>PROYECTO A</t>
  </si>
  <si>
    <t>PROYECTO B</t>
  </si>
  <si>
    <t>PROYECTO B'</t>
  </si>
  <si>
    <t>EAA</t>
  </si>
  <si>
    <t>precio</t>
  </si>
  <si>
    <t>nivel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</si>
</sst>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_-&quot;$&quot;\ * #,##0.000_-;\-&quot;$&quot;\ * #,##0.000_-;_-&quot;$&quot;\ * &quot;-&quot;??_-;_-@_-"/>
    <numFmt numFmtId="167" formatCode="_-* #,##0.000_-;\-* #,##0.000_-;_-* &quot;-&quot;??_-;_-@_-"/>
    <numFmt numFmtId="168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2" applyFont="1"/>
    <xf numFmtId="43" fontId="0" fillId="0" borderId="0" xfId="1" applyFont="1"/>
    <xf numFmtId="164" fontId="0" fillId="0" borderId="0" xfId="1" applyNumberFormat="1" applyFont="1"/>
    <xf numFmtId="165" fontId="0" fillId="0" borderId="0" xfId="2" applyNumberFormat="1" applyFont="1"/>
    <xf numFmtId="9" fontId="0" fillId="0" borderId="0" xfId="0" applyNumberFormat="1"/>
    <xf numFmtId="166" fontId="0" fillId="0" borderId="0" xfId="2" applyNumberFormat="1" applyFont="1"/>
    <xf numFmtId="164" fontId="0" fillId="0" borderId="0" xfId="0" applyNumberFormat="1"/>
    <xf numFmtId="165" fontId="0" fillId="0" borderId="1" xfId="2" applyNumberFormat="1" applyFont="1" applyBorder="1"/>
    <xf numFmtId="165" fontId="0" fillId="0" borderId="0" xfId="0" applyNumberFormat="1"/>
    <xf numFmtId="8" fontId="0" fillId="0" borderId="0" xfId="0" applyNumberFormat="1"/>
    <xf numFmtId="10" fontId="0" fillId="0" borderId="0" xfId="0" applyNumberFormat="1"/>
    <xf numFmtId="167" fontId="0" fillId="0" borderId="0" xfId="1" applyNumberFormat="1" applyFont="1"/>
    <xf numFmtId="0" fontId="0" fillId="2" borderId="0" xfId="0" applyFill="1"/>
    <xf numFmtId="165" fontId="0" fillId="2" borderId="0" xfId="2" applyNumberFormat="1" applyFont="1" applyFill="1"/>
    <xf numFmtId="0" fontId="3" fillId="2" borderId="0" xfId="0" applyFont="1" applyFill="1"/>
    <xf numFmtId="0" fontId="3" fillId="0" borderId="0" xfId="0" applyFont="1"/>
    <xf numFmtId="164" fontId="0" fillId="2" borderId="0" xfId="1" applyNumberFormat="1" applyFont="1" applyFill="1"/>
    <xf numFmtId="166" fontId="0" fillId="2" borderId="0" xfId="2" applyNumberFormat="1" applyFont="1" applyFill="1"/>
    <xf numFmtId="164" fontId="0" fillId="2" borderId="0" xfId="0" applyNumberFormat="1" applyFill="1"/>
    <xf numFmtId="165" fontId="0" fillId="2" borderId="1" xfId="2" applyNumberFormat="1" applyFont="1" applyFill="1" applyBorder="1"/>
    <xf numFmtId="9" fontId="0" fillId="2" borderId="0" xfId="0" applyNumberFormat="1" applyFill="1"/>
    <xf numFmtId="165" fontId="2" fillId="2" borderId="0" xfId="2" applyNumberFormat="1" applyFont="1" applyFill="1"/>
    <xf numFmtId="165" fontId="0" fillId="2" borderId="0" xfId="0" applyNumberFormat="1" applyFill="1"/>
    <xf numFmtId="44" fontId="0" fillId="2" borderId="0" xfId="2" applyFont="1" applyFill="1"/>
    <xf numFmtId="2" fontId="0" fillId="2" borderId="0" xfId="0" applyNumberFormat="1" applyFill="1"/>
    <xf numFmtId="2" fontId="0" fillId="0" borderId="0" xfId="0" applyNumberFormat="1"/>
    <xf numFmtId="168" fontId="0" fillId="2" borderId="0" xfId="0" applyNumberFormat="1" applyFill="1"/>
    <xf numFmtId="6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workbookViewId="0"/>
  </sheetViews>
  <sheetFormatPr baseColWidth="10" defaultColWidth="9.140625" defaultRowHeight="15" x14ac:dyDescent="0.25"/>
  <cols>
    <col min="7" max="7" width="14.5703125" bestFit="1" customWidth="1"/>
  </cols>
  <sheetData>
    <row r="2" spans="2:10" x14ac:dyDescent="0.25">
      <c r="G2" s="1"/>
      <c r="H2" s="1"/>
      <c r="I2" s="1"/>
      <c r="J2" s="1"/>
    </row>
    <row r="3" spans="2:10" x14ac:dyDescent="0.25">
      <c r="B3" t="s">
        <v>0</v>
      </c>
      <c r="G3" s="1"/>
      <c r="H3" s="1"/>
      <c r="I3" s="1"/>
      <c r="J3" s="1"/>
    </row>
    <row r="4" spans="2:10" x14ac:dyDescent="0.25">
      <c r="G4" s="1"/>
      <c r="H4" s="1"/>
      <c r="I4" s="1"/>
      <c r="J4" s="1"/>
    </row>
    <row r="5" spans="2:10" x14ac:dyDescent="0.25">
      <c r="B5" t="s">
        <v>1</v>
      </c>
      <c r="G5" s="1">
        <v>900000</v>
      </c>
      <c r="H5" s="1"/>
      <c r="I5" s="1"/>
      <c r="J5" s="1"/>
    </row>
    <row r="6" spans="2:10" x14ac:dyDescent="0.25">
      <c r="B6" t="s">
        <v>2</v>
      </c>
      <c r="G6" s="1">
        <v>175000</v>
      </c>
      <c r="H6" s="1"/>
      <c r="I6" s="1"/>
      <c r="J6" s="1"/>
    </row>
    <row r="7" spans="2:10" x14ac:dyDescent="0.25">
      <c r="B7" t="s">
        <v>3</v>
      </c>
      <c r="G7" s="1">
        <v>75000</v>
      </c>
      <c r="H7" s="1"/>
      <c r="I7" s="1"/>
      <c r="J7" s="1"/>
    </row>
    <row r="8" spans="2:10" x14ac:dyDescent="0.25">
      <c r="B8" t="s">
        <v>4</v>
      </c>
      <c r="G8" s="1">
        <f>+G6-G7</f>
        <v>100000</v>
      </c>
      <c r="H8" s="1"/>
      <c r="I8" s="1"/>
      <c r="J8" s="1"/>
    </row>
    <row r="9" spans="2:10" x14ac:dyDescent="0.25">
      <c r="G9" s="1"/>
      <c r="H9" s="1"/>
      <c r="I9" s="1"/>
      <c r="J9" s="1"/>
    </row>
    <row r="10" spans="2:10" x14ac:dyDescent="0.25">
      <c r="B10" t="s">
        <v>5</v>
      </c>
      <c r="C10">
        <v>4</v>
      </c>
      <c r="D10" t="s">
        <v>6</v>
      </c>
      <c r="G10" s="1"/>
      <c r="H10" s="1"/>
      <c r="I10" s="1"/>
      <c r="J10" s="1"/>
    </row>
    <row r="11" spans="2:10" x14ac:dyDescent="0.25">
      <c r="B11" t="s">
        <v>7</v>
      </c>
      <c r="G11" s="1" t="s">
        <v>8</v>
      </c>
      <c r="H11" s="1"/>
      <c r="I11" s="1"/>
      <c r="J11" s="1"/>
    </row>
    <row r="12" spans="2:10" x14ac:dyDescent="0.25">
      <c r="F12">
        <v>2020</v>
      </c>
      <c r="G12" s="3">
        <v>2685000</v>
      </c>
      <c r="H12" s="1"/>
      <c r="I12" s="1"/>
      <c r="J12" s="1"/>
    </row>
    <row r="13" spans="2:10" x14ac:dyDescent="0.25">
      <c r="F13">
        <v>2021</v>
      </c>
      <c r="G13" s="3">
        <v>2600000</v>
      </c>
      <c r="H13" s="1"/>
      <c r="I13" s="1"/>
      <c r="J13" s="1"/>
    </row>
    <row r="14" spans="2:10" x14ac:dyDescent="0.25">
      <c r="F14">
        <v>2022</v>
      </c>
      <c r="G14" s="3">
        <v>2525000</v>
      </c>
    </row>
    <row r="15" spans="2:10" x14ac:dyDescent="0.25">
      <c r="F15">
        <v>2023</v>
      </c>
      <c r="G15" s="3">
        <v>2450000</v>
      </c>
    </row>
    <row r="17" spans="2:8" x14ac:dyDescent="0.25">
      <c r="B17" t="s">
        <v>9</v>
      </c>
      <c r="G17" s="1">
        <v>2</v>
      </c>
    </row>
    <row r="19" spans="2:8" x14ac:dyDescent="0.25">
      <c r="B19" t="s">
        <v>10</v>
      </c>
      <c r="G19" s="4">
        <v>2000000</v>
      </c>
      <c r="H19" t="s">
        <v>11</v>
      </c>
    </row>
    <row r="20" spans="2:8" x14ac:dyDescent="0.25">
      <c r="B20" t="s">
        <v>12</v>
      </c>
    </row>
    <row r="21" spans="2:8" x14ac:dyDescent="0.25">
      <c r="F21">
        <v>2020</v>
      </c>
      <c r="G21">
        <v>1.018</v>
      </c>
    </row>
    <row r="22" spans="2:8" x14ac:dyDescent="0.25">
      <c r="F22">
        <v>2021</v>
      </c>
      <c r="G22">
        <v>1.0780000000000001</v>
      </c>
    </row>
    <row r="23" spans="2:8" x14ac:dyDescent="0.25">
      <c r="F23">
        <v>2022</v>
      </c>
      <c r="G23">
        <v>1.046</v>
      </c>
    </row>
    <row r="24" spans="2:8" x14ac:dyDescent="0.25">
      <c r="F24">
        <v>2023</v>
      </c>
      <c r="G24">
        <v>1.2210000000000001</v>
      </c>
    </row>
    <row r="26" spans="2:8" x14ac:dyDescent="0.25">
      <c r="B26" t="s">
        <v>13</v>
      </c>
    </row>
    <row r="28" spans="2:8" x14ac:dyDescent="0.25">
      <c r="B28" t="s">
        <v>15</v>
      </c>
    </row>
    <row r="29" spans="2:8" x14ac:dyDescent="0.25">
      <c r="C29" t="s">
        <v>14</v>
      </c>
      <c r="G29" s="4">
        <v>50000</v>
      </c>
    </row>
    <row r="30" spans="2:8" x14ac:dyDescent="0.25">
      <c r="C30" t="s">
        <v>16</v>
      </c>
      <c r="G30" s="4">
        <v>100000</v>
      </c>
    </row>
    <row r="32" spans="2:8" x14ac:dyDescent="0.25">
      <c r="B32" t="s">
        <v>17</v>
      </c>
      <c r="H32" s="5">
        <v>0.4</v>
      </c>
    </row>
    <row r="34" spans="2:8" x14ac:dyDescent="0.25">
      <c r="B34" t="s">
        <v>18</v>
      </c>
      <c r="H34" s="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807D-F8A0-4199-BBEF-C7E941AB7888}">
  <dimension ref="B3:K51"/>
  <sheetViews>
    <sheetView workbookViewId="0"/>
  </sheetViews>
  <sheetFormatPr baseColWidth="10" defaultRowHeight="15" x14ac:dyDescent="0.25"/>
  <cols>
    <col min="4" max="4" width="40.140625" customWidth="1"/>
    <col min="5" max="5" width="13.140625" bestFit="1" customWidth="1"/>
    <col min="6" max="6" width="13" bestFit="1" customWidth="1"/>
    <col min="7" max="10" width="13.140625" bestFit="1" customWidth="1"/>
  </cols>
  <sheetData>
    <row r="3" spans="2:10" x14ac:dyDescent="0.25">
      <c r="F3">
        <v>0</v>
      </c>
      <c r="G3">
        <v>1</v>
      </c>
      <c r="H3">
        <v>2</v>
      </c>
      <c r="I3">
        <v>3</v>
      </c>
      <c r="J3">
        <v>4</v>
      </c>
    </row>
    <row r="4" spans="2:10" x14ac:dyDescent="0.25">
      <c r="B4" s="15" t="s">
        <v>19</v>
      </c>
      <c r="C4" s="13"/>
      <c r="D4" s="13"/>
      <c r="E4" s="13"/>
      <c r="F4" s="14"/>
      <c r="G4" s="14"/>
      <c r="H4" s="14"/>
      <c r="I4" s="14"/>
      <c r="J4" s="14"/>
    </row>
    <row r="5" spans="2:10" x14ac:dyDescent="0.25">
      <c r="B5" s="13"/>
      <c r="C5" s="13"/>
      <c r="D5" s="13" t="s">
        <v>20</v>
      </c>
      <c r="E5" s="13"/>
      <c r="F5" s="14">
        <f>-900000</f>
        <v>-900000</v>
      </c>
      <c r="G5" s="14"/>
      <c r="H5" s="14"/>
      <c r="I5" s="14"/>
      <c r="J5" s="14"/>
    </row>
    <row r="6" spans="2:10" x14ac:dyDescent="0.25">
      <c r="B6" s="13"/>
      <c r="C6" s="13"/>
      <c r="D6" s="13" t="s">
        <v>21</v>
      </c>
      <c r="E6" s="13"/>
      <c r="F6" s="14">
        <v>-100000</v>
      </c>
      <c r="G6" s="14"/>
      <c r="H6" s="14"/>
      <c r="I6" s="14"/>
      <c r="J6" s="14"/>
    </row>
    <row r="7" spans="2:10" x14ac:dyDescent="0.25">
      <c r="F7" s="4"/>
      <c r="G7" s="4"/>
      <c r="H7" s="4"/>
      <c r="I7" s="4"/>
      <c r="J7" s="4"/>
    </row>
    <row r="8" spans="2:10" x14ac:dyDescent="0.25">
      <c r="B8" s="15" t="s">
        <v>22</v>
      </c>
      <c r="C8" s="13"/>
      <c r="D8" s="13"/>
      <c r="E8" s="13"/>
      <c r="F8" s="14"/>
      <c r="G8" s="14"/>
      <c r="H8" s="14"/>
      <c r="I8" s="14"/>
      <c r="J8" s="14"/>
    </row>
    <row r="9" spans="2:10" x14ac:dyDescent="0.25">
      <c r="B9" s="13"/>
      <c r="C9" s="13"/>
      <c r="D9" s="13" t="s">
        <v>23</v>
      </c>
      <c r="E9" s="13"/>
      <c r="F9" s="14"/>
      <c r="G9" s="17">
        <f>+'DATOS PROY EXPANSION'!G12</f>
        <v>2685000</v>
      </c>
      <c r="H9" s="17">
        <f>+'DATOS PROY EXPANSION'!G13</f>
        <v>2600000</v>
      </c>
      <c r="I9" s="17">
        <f>+'DATOS PROY EXPANSION'!G14</f>
        <v>2525000</v>
      </c>
      <c r="J9" s="17">
        <f>+'DATOS PROY EXPANSION'!G15</f>
        <v>2450000</v>
      </c>
    </row>
    <row r="10" spans="2:10" x14ac:dyDescent="0.25">
      <c r="B10" s="13"/>
      <c r="C10" s="13"/>
      <c r="D10" s="13" t="s">
        <v>24</v>
      </c>
      <c r="E10" s="13"/>
      <c r="F10" s="14"/>
      <c r="G10" s="18">
        <v>2</v>
      </c>
      <c r="H10" s="18">
        <v>2</v>
      </c>
      <c r="I10" s="18">
        <v>2</v>
      </c>
      <c r="J10" s="18">
        <v>2</v>
      </c>
    </row>
    <row r="11" spans="2:10" x14ac:dyDescent="0.25">
      <c r="B11" s="13"/>
      <c r="C11" s="13"/>
      <c r="D11" s="13" t="s">
        <v>25</v>
      </c>
      <c r="E11" s="13"/>
      <c r="F11" s="14"/>
      <c r="G11" s="18">
        <f>+'DATOS PROY EXPANSION'!G21</f>
        <v>1.018</v>
      </c>
      <c r="H11" s="18">
        <f>+'DATOS PROY EXPANSION'!G22</f>
        <v>1.0780000000000001</v>
      </c>
      <c r="I11" s="18">
        <f>+'DATOS PROY EXPANSION'!G23</f>
        <v>1.046</v>
      </c>
      <c r="J11" s="18">
        <f>+'DATOS PROY EXPANSION'!G24</f>
        <v>1.2210000000000001</v>
      </c>
    </row>
    <row r="12" spans="2:10" x14ac:dyDescent="0.25">
      <c r="B12" s="13"/>
      <c r="C12" s="13"/>
      <c r="D12" s="13" t="s">
        <v>26</v>
      </c>
      <c r="E12" s="13"/>
      <c r="F12" s="14"/>
      <c r="G12" s="19">
        <f>+G10*G9</f>
        <v>5370000</v>
      </c>
      <c r="H12" s="19">
        <f t="shared" ref="H12:J12" si="0">+H10*H9</f>
        <v>5200000</v>
      </c>
      <c r="I12" s="19">
        <f t="shared" si="0"/>
        <v>5050000</v>
      </c>
      <c r="J12" s="19">
        <f t="shared" si="0"/>
        <v>4900000</v>
      </c>
    </row>
    <row r="13" spans="2:10" x14ac:dyDescent="0.25">
      <c r="B13" s="13"/>
      <c r="C13" s="13"/>
      <c r="D13" s="13" t="s">
        <v>27</v>
      </c>
      <c r="E13" s="13"/>
      <c r="F13" s="14"/>
      <c r="G13" s="14">
        <f>+G11*G9</f>
        <v>2733330</v>
      </c>
      <c r="H13" s="14">
        <f t="shared" ref="H13:J13" si="1">+H11*H9</f>
        <v>2802800</v>
      </c>
      <c r="I13" s="14">
        <f t="shared" si="1"/>
        <v>2641150</v>
      </c>
      <c r="J13" s="14">
        <f t="shared" si="1"/>
        <v>2991450</v>
      </c>
    </row>
    <row r="14" spans="2:10" x14ac:dyDescent="0.25">
      <c r="B14" s="13"/>
      <c r="C14" s="13"/>
      <c r="D14" s="13" t="s">
        <v>28</v>
      </c>
      <c r="E14" s="13"/>
      <c r="F14" s="14"/>
      <c r="G14" s="14">
        <f>+'DATOS PROY EXPANSION'!$G$19</f>
        <v>2000000</v>
      </c>
      <c r="H14" s="14">
        <f>+'DATOS PROY EXPANSION'!$G$19</f>
        <v>2000000</v>
      </c>
      <c r="I14" s="14">
        <f>+'DATOS PROY EXPANSION'!$G$19</f>
        <v>2000000</v>
      </c>
      <c r="J14" s="14">
        <f>+'DATOS PROY EXPANSION'!$G$19</f>
        <v>2000000</v>
      </c>
    </row>
    <row r="15" spans="2:10" ht="15.75" thickBot="1" x14ac:dyDescent="0.3">
      <c r="B15" s="13"/>
      <c r="C15" s="13"/>
      <c r="D15" s="13" t="s">
        <v>29</v>
      </c>
      <c r="E15" s="13"/>
      <c r="F15" s="14"/>
      <c r="G15" s="20">
        <f>-$F$5*0.33</f>
        <v>297000</v>
      </c>
      <c r="H15" s="20">
        <f>-$F$5*0.45</f>
        <v>405000</v>
      </c>
      <c r="I15" s="20">
        <f>-$F$5*0.15</f>
        <v>135000</v>
      </c>
      <c r="J15" s="20">
        <f>-$F$5*0.07</f>
        <v>63000.000000000007</v>
      </c>
    </row>
    <row r="16" spans="2:10" x14ac:dyDescent="0.25">
      <c r="B16" s="13"/>
      <c r="C16" s="13"/>
      <c r="D16" s="13" t="s">
        <v>30</v>
      </c>
      <c r="E16" s="13"/>
      <c r="F16" s="14"/>
      <c r="G16" s="14">
        <f>+SUM(G13:G15)</f>
        <v>5030330</v>
      </c>
      <c r="H16" s="14">
        <f t="shared" ref="H16:J16" si="2">+SUM(H13:H15)</f>
        <v>5207800</v>
      </c>
      <c r="I16" s="14">
        <f t="shared" si="2"/>
        <v>4776150</v>
      </c>
      <c r="J16" s="14">
        <f t="shared" si="2"/>
        <v>5054450</v>
      </c>
    </row>
    <row r="17" spans="2:11" x14ac:dyDescent="0.25">
      <c r="B17" s="13"/>
      <c r="C17" s="13"/>
      <c r="D17" s="13" t="s">
        <v>31</v>
      </c>
      <c r="E17" s="13"/>
      <c r="F17" s="14"/>
      <c r="G17" s="14">
        <f>+G12-G16</f>
        <v>339670</v>
      </c>
      <c r="H17" s="14">
        <f t="shared" ref="H17:J17" si="3">+H12-H16</f>
        <v>-7800</v>
      </c>
      <c r="I17" s="14">
        <f t="shared" si="3"/>
        <v>273850</v>
      </c>
      <c r="J17" s="14">
        <f t="shared" si="3"/>
        <v>-154450</v>
      </c>
    </row>
    <row r="18" spans="2:11" x14ac:dyDescent="0.25">
      <c r="B18" s="13"/>
      <c r="C18" s="13"/>
      <c r="D18" s="13" t="s">
        <v>33</v>
      </c>
      <c r="E18" s="21">
        <v>0.4</v>
      </c>
      <c r="F18" s="14"/>
      <c r="G18" s="14">
        <f>+$E$18*G17</f>
        <v>135868</v>
      </c>
      <c r="H18" s="14">
        <f t="shared" ref="H18:J18" si="4">+$E$18*H17</f>
        <v>-3120</v>
      </c>
      <c r="I18" s="14">
        <f t="shared" si="4"/>
        <v>109540</v>
      </c>
      <c r="J18" s="14">
        <f t="shared" si="4"/>
        <v>-61780</v>
      </c>
    </row>
    <row r="19" spans="2:11" x14ac:dyDescent="0.25">
      <c r="B19" s="13"/>
      <c r="C19" s="13"/>
      <c r="D19" s="13" t="s">
        <v>34</v>
      </c>
      <c r="E19" s="13"/>
      <c r="F19" s="14"/>
      <c r="G19" s="14">
        <f>+G17-G18</f>
        <v>203802</v>
      </c>
      <c r="H19" s="14">
        <f t="shared" ref="H19:J19" si="5">+H17-H18</f>
        <v>-4680</v>
      </c>
      <c r="I19" s="14">
        <f t="shared" si="5"/>
        <v>164310</v>
      </c>
      <c r="J19" s="14">
        <f t="shared" si="5"/>
        <v>-92670</v>
      </c>
    </row>
    <row r="20" spans="2:11" x14ac:dyDescent="0.25">
      <c r="B20" s="13"/>
      <c r="C20" s="13"/>
      <c r="D20" s="13"/>
      <c r="E20" s="13"/>
      <c r="F20" s="14"/>
      <c r="G20" s="13"/>
      <c r="H20" s="13"/>
      <c r="I20" s="13"/>
      <c r="J20" s="13"/>
    </row>
    <row r="21" spans="2:11" x14ac:dyDescent="0.25">
      <c r="B21" s="13"/>
      <c r="C21" s="13"/>
      <c r="D21" s="13" t="s">
        <v>35</v>
      </c>
      <c r="E21" s="13"/>
      <c r="F21" s="14"/>
      <c r="G21" s="14">
        <f>+G19+G15</f>
        <v>500802</v>
      </c>
      <c r="H21" s="14">
        <f>+H19+H15</f>
        <v>400320</v>
      </c>
      <c r="I21" s="14">
        <f>+I19+I15</f>
        <v>299310</v>
      </c>
      <c r="J21" s="14">
        <f>+J19+J15</f>
        <v>-29669.999999999993</v>
      </c>
    </row>
    <row r="23" spans="2:11" x14ac:dyDescent="0.25">
      <c r="B23" s="15" t="s">
        <v>36</v>
      </c>
      <c r="C23" s="13"/>
      <c r="D23" s="13"/>
      <c r="E23" s="13"/>
      <c r="F23" s="13"/>
      <c r="G23" s="14"/>
      <c r="H23" s="14"/>
      <c r="I23" s="14"/>
      <c r="J23" s="14"/>
      <c r="K23" s="4"/>
    </row>
    <row r="24" spans="2:11" x14ac:dyDescent="0.25">
      <c r="B24" s="13"/>
      <c r="C24" s="13"/>
      <c r="D24" s="13" t="s">
        <v>37</v>
      </c>
      <c r="E24" s="13"/>
      <c r="F24" s="13"/>
      <c r="G24" s="14"/>
      <c r="H24" s="14"/>
      <c r="I24" s="14"/>
      <c r="J24" s="14">
        <v>50000</v>
      </c>
      <c r="K24" s="4"/>
    </row>
    <row r="25" spans="2:11" x14ac:dyDescent="0.25">
      <c r="B25" s="13"/>
      <c r="C25" s="13"/>
      <c r="D25" s="13" t="s">
        <v>38</v>
      </c>
      <c r="E25" s="13"/>
      <c r="F25" s="13"/>
      <c r="G25" s="14"/>
      <c r="H25" s="14"/>
      <c r="I25" s="14"/>
      <c r="J25" s="14">
        <f>+J24*E18</f>
        <v>20000</v>
      </c>
      <c r="K25" s="4"/>
    </row>
    <row r="26" spans="2:11" x14ac:dyDescent="0.25">
      <c r="B26" s="13"/>
      <c r="C26" s="13"/>
      <c r="D26" s="13" t="s">
        <v>39</v>
      </c>
      <c r="E26" s="13"/>
      <c r="F26" s="13"/>
      <c r="G26" s="14"/>
      <c r="H26" s="14"/>
      <c r="I26" s="14"/>
      <c r="J26" s="14">
        <f>+J24-J25</f>
        <v>30000</v>
      </c>
      <c r="K26" s="4"/>
    </row>
    <row r="27" spans="2:11" x14ac:dyDescent="0.25">
      <c r="B27" s="13"/>
      <c r="C27" s="13"/>
      <c r="D27" s="13" t="s">
        <v>21</v>
      </c>
      <c r="E27" s="13"/>
      <c r="F27" s="13"/>
      <c r="G27" s="14"/>
      <c r="H27" s="14"/>
      <c r="I27" s="14"/>
      <c r="J27" s="14">
        <v>100000</v>
      </c>
      <c r="K27" s="4"/>
    </row>
    <row r="28" spans="2:11" x14ac:dyDescent="0.25">
      <c r="B28" s="13"/>
      <c r="C28" s="13"/>
      <c r="D28" s="13"/>
      <c r="E28" s="13"/>
      <c r="F28" s="13"/>
      <c r="G28" s="14"/>
      <c r="H28" s="14"/>
      <c r="I28" s="14"/>
      <c r="J28" s="14">
        <f>+J27+J26</f>
        <v>130000</v>
      </c>
      <c r="K28" s="4"/>
    </row>
    <row r="29" spans="2:11" x14ac:dyDescent="0.25">
      <c r="G29" s="4"/>
      <c r="H29" s="4"/>
      <c r="I29" s="4"/>
      <c r="J29" s="4"/>
      <c r="K29" s="4"/>
    </row>
    <row r="30" spans="2:11" x14ac:dyDescent="0.25">
      <c r="B30" s="16" t="s">
        <v>40</v>
      </c>
      <c r="G30" s="4"/>
      <c r="H30" s="4"/>
      <c r="I30" s="4"/>
      <c r="J30" s="4"/>
      <c r="K30" s="4"/>
    </row>
    <row r="31" spans="2:11" x14ac:dyDescent="0.25">
      <c r="B31" t="s">
        <v>41</v>
      </c>
      <c r="F31" s="9">
        <f>+SUM(F5:F6)</f>
        <v>-1000000</v>
      </c>
      <c r="G31" s="4">
        <f>+G21</f>
        <v>500802</v>
      </c>
      <c r="H31" s="4">
        <f>+H21</f>
        <v>400320</v>
      </c>
      <c r="I31" s="4">
        <f>+I21</f>
        <v>299310</v>
      </c>
      <c r="J31" s="4">
        <f>+J21+J28</f>
        <v>100330</v>
      </c>
      <c r="K31" s="4"/>
    </row>
    <row r="32" spans="2:11" x14ac:dyDescent="0.25">
      <c r="B32" t="s">
        <v>50</v>
      </c>
      <c r="G32" s="4"/>
      <c r="H32" s="4"/>
      <c r="I32" s="4"/>
      <c r="J32" s="4"/>
      <c r="K32" s="4"/>
    </row>
    <row r="33" spans="2:11" x14ac:dyDescent="0.25">
      <c r="B33" t="s">
        <v>42</v>
      </c>
      <c r="F33" s="9">
        <f>+'AMORT LINEAL - EXPANSION'!F31</f>
        <v>-1000000</v>
      </c>
      <c r="G33" s="9">
        <f>+'AMORT LINEAL - EXPANSION'!G31</f>
        <v>472002</v>
      </c>
      <c r="H33" s="9">
        <f>+'AMORT LINEAL - EXPANSION'!H31</f>
        <v>328320</v>
      </c>
      <c r="I33" s="9">
        <f>+'AMORT LINEAL - EXPANSION'!I31</f>
        <v>335310</v>
      </c>
      <c r="J33" s="9">
        <f>+'AMORT LINEAL - EXPANSION'!J31</f>
        <v>165130</v>
      </c>
      <c r="K33" s="4"/>
    </row>
    <row r="34" spans="2:11" x14ac:dyDescent="0.25">
      <c r="G34" s="4"/>
      <c r="H34" s="4"/>
      <c r="I34" s="4"/>
      <c r="J34" s="4"/>
      <c r="K34" s="4"/>
    </row>
    <row r="35" spans="2:11" x14ac:dyDescent="0.25">
      <c r="B35" t="s">
        <v>43</v>
      </c>
      <c r="E35" s="5">
        <v>0.1</v>
      </c>
      <c r="G35" s="4"/>
      <c r="H35" s="4"/>
      <c r="I35" s="4"/>
      <c r="J35" s="4"/>
      <c r="K35" s="4"/>
    </row>
    <row r="37" spans="2:11" x14ac:dyDescent="0.25">
      <c r="E37" t="s">
        <v>48</v>
      </c>
      <c r="F37" t="s">
        <v>49</v>
      </c>
    </row>
    <row r="38" spans="2:11" x14ac:dyDescent="0.25">
      <c r="D38" t="s">
        <v>44</v>
      </c>
      <c r="E38" s="10">
        <f>+NPV(E35,G31:J31)+F31</f>
        <v>79520.293695785571</v>
      </c>
      <c r="F38" s="10">
        <f>+'AMORT LINEAL - EXPANSION'!E38</f>
        <v>65140.948022675933</v>
      </c>
      <c r="G38" t="s">
        <v>76</v>
      </c>
    </row>
    <row r="39" spans="2:11" x14ac:dyDescent="0.25">
      <c r="D39" t="s">
        <v>45</v>
      </c>
      <c r="E39" s="11">
        <f>+IRR(F31:J31,0.1)</f>
        <v>0.14530088435841981</v>
      </c>
      <c r="F39" s="11">
        <f>+IRR(F33:J33,0.1)</f>
        <v>0.1347498787062491</v>
      </c>
    </row>
    <row r="40" spans="2:11" x14ac:dyDescent="0.25">
      <c r="D40" t="s">
        <v>46</v>
      </c>
      <c r="E40" s="11">
        <f>+MIRR(F31:J31,E35,E35)</f>
        <v>0.12124466051151517</v>
      </c>
      <c r="F40" s="11">
        <f>+MIRR(F33:J33,E35,E35)</f>
        <v>0.11749208398229061</v>
      </c>
    </row>
    <row r="41" spans="2:11" x14ac:dyDescent="0.25">
      <c r="D41" t="s">
        <v>47</v>
      </c>
      <c r="E41" s="12">
        <f>2+(-F31-G31-H31)/I31</f>
        <v>2.3303531455681399</v>
      </c>
      <c r="F41" s="12">
        <f>2+(-F33-G33-H33)/I33</f>
        <v>2.595502669171811</v>
      </c>
    </row>
    <row r="43" spans="2:11" x14ac:dyDescent="0.25">
      <c r="B43" t="s">
        <v>51</v>
      </c>
    </row>
    <row r="44" spans="2:11" x14ac:dyDescent="0.25">
      <c r="D44" t="s">
        <v>52</v>
      </c>
    </row>
    <row r="45" spans="2:11" x14ac:dyDescent="0.25">
      <c r="D45" t="s">
        <v>53</v>
      </c>
    </row>
    <row r="46" spans="2:11" x14ac:dyDescent="0.25">
      <c r="D46" t="s">
        <v>54</v>
      </c>
    </row>
    <row r="47" spans="2:11" x14ac:dyDescent="0.25">
      <c r="D47" t="s">
        <v>55</v>
      </c>
    </row>
    <row r="48" spans="2:11" x14ac:dyDescent="0.25">
      <c r="E48" t="s">
        <v>7</v>
      </c>
    </row>
    <row r="49" spans="5:5" x14ac:dyDescent="0.25">
      <c r="E49" t="s">
        <v>24</v>
      </c>
    </row>
    <row r="50" spans="5:5" x14ac:dyDescent="0.25">
      <c r="E50" t="s">
        <v>27</v>
      </c>
    </row>
    <row r="51" spans="5:5" x14ac:dyDescent="0.25">
      <c r="E5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5131-334D-459A-B4E5-8CE2E8457E64}">
  <dimension ref="B3:K41"/>
  <sheetViews>
    <sheetView workbookViewId="0"/>
  </sheetViews>
  <sheetFormatPr baseColWidth="10" defaultRowHeight="15" x14ac:dyDescent="0.25"/>
  <cols>
    <col min="4" max="4" width="40.140625" customWidth="1"/>
    <col min="6" max="6" width="13" bestFit="1" customWidth="1"/>
    <col min="7" max="10" width="13.140625" bestFit="1" customWidth="1"/>
  </cols>
  <sheetData>
    <row r="3" spans="2:10" x14ac:dyDescent="0.25">
      <c r="F3">
        <v>0</v>
      </c>
      <c r="G3">
        <v>1</v>
      </c>
      <c r="H3">
        <v>2</v>
      </c>
      <c r="I3">
        <v>3</v>
      </c>
      <c r="J3">
        <v>4</v>
      </c>
    </row>
    <row r="4" spans="2:10" x14ac:dyDescent="0.25">
      <c r="B4" t="s">
        <v>19</v>
      </c>
      <c r="F4" s="4"/>
      <c r="G4" s="4"/>
      <c r="H4" s="4"/>
      <c r="I4" s="4"/>
      <c r="J4" s="4"/>
    </row>
    <row r="5" spans="2:10" x14ac:dyDescent="0.25">
      <c r="D5" t="s">
        <v>20</v>
      </c>
      <c r="F5" s="4">
        <v>-900000</v>
      </c>
      <c r="G5" s="4"/>
      <c r="H5" s="4"/>
      <c r="I5" s="4"/>
      <c r="J5" s="4"/>
    </row>
    <row r="6" spans="2:10" x14ac:dyDescent="0.25">
      <c r="D6" t="s">
        <v>21</v>
      </c>
      <c r="F6" s="4">
        <v>-100000</v>
      </c>
      <c r="G6" s="4"/>
      <c r="H6" s="4"/>
      <c r="I6" s="4"/>
      <c r="J6" s="4"/>
    </row>
    <row r="7" spans="2:10" x14ac:dyDescent="0.25">
      <c r="F7" s="4"/>
      <c r="G7" s="4"/>
      <c r="H7" s="4"/>
      <c r="I7" s="4"/>
      <c r="J7" s="4"/>
    </row>
    <row r="8" spans="2:10" x14ac:dyDescent="0.25">
      <c r="B8" t="s">
        <v>22</v>
      </c>
      <c r="F8" s="4"/>
      <c r="G8" s="4"/>
      <c r="H8" s="4"/>
      <c r="I8" s="4"/>
      <c r="J8" s="4"/>
    </row>
    <row r="9" spans="2:10" x14ac:dyDescent="0.25">
      <c r="D9" t="s">
        <v>23</v>
      </c>
      <c r="F9" s="4"/>
      <c r="G9" s="3">
        <f>+'DATOS PROY EXPANSION'!G12</f>
        <v>2685000</v>
      </c>
      <c r="H9" s="3">
        <f>+'DATOS PROY EXPANSION'!G13</f>
        <v>2600000</v>
      </c>
      <c r="I9" s="3">
        <f>+'DATOS PROY EXPANSION'!G14</f>
        <v>2525000</v>
      </c>
      <c r="J9" s="3">
        <f>+'DATOS PROY EXPANSION'!G15</f>
        <v>2450000</v>
      </c>
    </row>
    <row r="10" spans="2:10" x14ac:dyDescent="0.25">
      <c r="D10" t="s">
        <v>24</v>
      </c>
      <c r="F10" s="4"/>
      <c r="G10" s="6">
        <v>2</v>
      </c>
      <c r="H10" s="6">
        <v>2</v>
      </c>
      <c r="I10" s="6">
        <v>2</v>
      </c>
      <c r="J10" s="6">
        <v>2</v>
      </c>
    </row>
    <row r="11" spans="2:10" x14ac:dyDescent="0.25">
      <c r="D11" t="s">
        <v>25</v>
      </c>
      <c r="F11" s="4"/>
      <c r="G11" s="6">
        <f>+'DATOS PROY EXPANSION'!G21</f>
        <v>1.018</v>
      </c>
      <c r="H11" s="6">
        <f>+'DATOS PROY EXPANSION'!G22</f>
        <v>1.0780000000000001</v>
      </c>
      <c r="I11" s="6">
        <f>+'DATOS PROY EXPANSION'!G23</f>
        <v>1.046</v>
      </c>
      <c r="J11" s="6">
        <f>+'DATOS PROY EXPANSION'!G24</f>
        <v>1.2210000000000001</v>
      </c>
    </row>
    <row r="12" spans="2:10" x14ac:dyDescent="0.25">
      <c r="D12" t="s">
        <v>26</v>
      </c>
      <c r="F12" s="4"/>
      <c r="G12" s="7">
        <f>+G10*G9</f>
        <v>5370000</v>
      </c>
      <c r="H12" s="7">
        <f t="shared" ref="H12:J12" si="0">+H10*H9</f>
        <v>5200000</v>
      </c>
      <c r="I12" s="7">
        <f t="shared" si="0"/>
        <v>5050000</v>
      </c>
      <c r="J12" s="7">
        <f t="shared" si="0"/>
        <v>4900000</v>
      </c>
    </row>
    <row r="13" spans="2:10" x14ac:dyDescent="0.25">
      <c r="D13" t="s">
        <v>27</v>
      </c>
      <c r="F13" s="4"/>
      <c r="G13" s="4">
        <f>+G11*G9</f>
        <v>2733330</v>
      </c>
      <c r="H13" s="4">
        <f t="shared" ref="H13:J13" si="1">+H11*H9</f>
        <v>2802800</v>
      </c>
      <c r="I13" s="4">
        <f t="shared" si="1"/>
        <v>2641150</v>
      </c>
      <c r="J13" s="4">
        <f t="shared" si="1"/>
        <v>2991450</v>
      </c>
    </row>
    <row r="14" spans="2:10" x14ac:dyDescent="0.25">
      <c r="D14" t="s">
        <v>28</v>
      </c>
      <c r="F14" s="4"/>
      <c r="G14" s="4">
        <f>+'DATOS PROY EXPANSION'!$G$19</f>
        <v>2000000</v>
      </c>
      <c r="H14" s="4">
        <f>+'DATOS PROY EXPANSION'!$G$19</f>
        <v>2000000</v>
      </c>
      <c r="I14" s="4">
        <f>+'DATOS PROY EXPANSION'!$G$19</f>
        <v>2000000</v>
      </c>
      <c r="J14" s="4">
        <f>+'DATOS PROY EXPANSION'!$G$19</f>
        <v>2000000</v>
      </c>
    </row>
    <row r="15" spans="2:10" ht="15.75" thickBot="1" x14ac:dyDescent="0.3">
      <c r="D15" t="s">
        <v>29</v>
      </c>
      <c r="F15" s="4"/>
      <c r="G15" s="8">
        <f>-$F$5*0.25</f>
        <v>225000</v>
      </c>
      <c r="H15" s="8">
        <f t="shared" ref="H15:J15" si="2">-$F$5*0.25</f>
        <v>225000</v>
      </c>
      <c r="I15" s="8">
        <f t="shared" si="2"/>
        <v>225000</v>
      </c>
      <c r="J15" s="8">
        <f t="shared" si="2"/>
        <v>225000</v>
      </c>
    </row>
    <row r="16" spans="2:10" x14ac:dyDescent="0.25">
      <c r="D16" t="s">
        <v>30</v>
      </c>
      <c r="F16" s="4"/>
      <c r="G16" s="4">
        <f>+SUM(G13:G15)</f>
        <v>4958330</v>
      </c>
      <c r="H16" s="4">
        <f t="shared" ref="H16:J16" si="3">+SUM(H13:H15)</f>
        <v>5027800</v>
      </c>
      <c r="I16" s="4">
        <f t="shared" si="3"/>
        <v>4866150</v>
      </c>
      <c r="J16" s="4">
        <f t="shared" si="3"/>
        <v>5216450</v>
      </c>
    </row>
    <row r="17" spans="2:11" x14ac:dyDescent="0.25">
      <c r="D17" t="s">
        <v>31</v>
      </c>
      <c r="F17" s="4"/>
      <c r="G17" s="4">
        <f>+G12-G16</f>
        <v>411670</v>
      </c>
      <c r="H17" s="4">
        <f t="shared" ref="H17:J17" si="4">+H12-H16</f>
        <v>172200</v>
      </c>
      <c r="I17" s="4">
        <f t="shared" si="4"/>
        <v>183850</v>
      </c>
      <c r="J17" s="4">
        <f t="shared" si="4"/>
        <v>-316450</v>
      </c>
    </row>
    <row r="18" spans="2:11" x14ac:dyDescent="0.25">
      <c r="D18" t="s">
        <v>33</v>
      </c>
      <c r="E18" s="5">
        <v>0.4</v>
      </c>
      <c r="F18" s="4"/>
      <c r="G18" s="4">
        <f>+$E$18*G17</f>
        <v>164668</v>
      </c>
      <c r="H18" s="4">
        <f t="shared" ref="H18:J18" si="5">+$E$18*H17</f>
        <v>68880</v>
      </c>
      <c r="I18" s="4">
        <f t="shared" si="5"/>
        <v>73540</v>
      </c>
      <c r="J18" s="4">
        <f t="shared" si="5"/>
        <v>-126580</v>
      </c>
    </row>
    <row r="19" spans="2:11" x14ac:dyDescent="0.25">
      <c r="D19" t="s">
        <v>34</v>
      </c>
      <c r="F19" s="4"/>
      <c r="G19" s="4">
        <f>+G17-G18</f>
        <v>247002</v>
      </c>
      <c r="H19" s="4">
        <f t="shared" ref="H19:J19" si="6">+H17-H18</f>
        <v>103320</v>
      </c>
      <c r="I19" s="4">
        <f t="shared" si="6"/>
        <v>110310</v>
      </c>
      <c r="J19" s="4">
        <f t="shared" si="6"/>
        <v>-189870</v>
      </c>
    </row>
    <row r="20" spans="2:11" x14ac:dyDescent="0.25">
      <c r="F20" s="4"/>
    </row>
    <row r="21" spans="2:11" x14ac:dyDescent="0.25">
      <c r="D21" t="s">
        <v>35</v>
      </c>
      <c r="F21" s="4"/>
      <c r="G21" s="4">
        <f>+G19+G15</f>
        <v>472002</v>
      </c>
      <c r="H21" s="4">
        <f>+H19+H15</f>
        <v>328320</v>
      </c>
      <c r="I21" s="4">
        <f>+I19+I15</f>
        <v>335310</v>
      </c>
      <c r="J21" s="4">
        <f>+J19+J15</f>
        <v>35130</v>
      </c>
    </row>
    <row r="23" spans="2:11" x14ac:dyDescent="0.25">
      <c r="B23" t="s">
        <v>36</v>
      </c>
      <c r="G23" s="4"/>
      <c r="H23" s="4"/>
      <c r="I23" s="4"/>
      <c r="J23" s="4"/>
      <c r="K23" s="4"/>
    </row>
    <row r="24" spans="2:11" x14ac:dyDescent="0.25">
      <c r="D24" t="s">
        <v>37</v>
      </c>
      <c r="G24" s="4"/>
      <c r="H24" s="4"/>
      <c r="I24" s="4"/>
      <c r="J24" s="4">
        <v>50000</v>
      </c>
      <c r="K24" s="4"/>
    </row>
    <row r="25" spans="2:11" x14ac:dyDescent="0.25">
      <c r="D25" t="s">
        <v>38</v>
      </c>
      <c r="G25" s="4"/>
      <c r="H25" s="4"/>
      <c r="I25" s="4"/>
      <c r="J25" s="4">
        <f>+J24*E18</f>
        <v>20000</v>
      </c>
      <c r="K25" s="4"/>
    </row>
    <row r="26" spans="2:11" x14ac:dyDescent="0.25">
      <c r="D26" t="s">
        <v>39</v>
      </c>
      <c r="G26" s="4"/>
      <c r="H26" s="4"/>
      <c r="I26" s="4"/>
      <c r="J26" s="4">
        <f>+J24-J25</f>
        <v>30000</v>
      </c>
      <c r="K26" s="4"/>
    </row>
    <row r="27" spans="2:11" x14ac:dyDescent="0.25">
      <c r="D27" t="s">
        <v>21</v>
      </c>
      <c r="G27" s="4"/>
      <c r="H27" s="4"/>
      <c r="I27" s="4"/>
      <c r="J27" s="4">
        <v>100000</v>
      </c>
      <c r="K27" s="4"/>
    </row>
    <row r="28" spans="2:11" x14ac:dyDescent="0.25">
      <c r="G28" s="4"/>
      <c r="H28" s="4"/>
      <c r="I28" s="4"/>
      <c r="J28" s="4">
        <f>+J27+J26</f>
        <v>130000</v>
      </c>
      <c r="K28" s="4"/>
    </row>
    <row r="29" spans="2:11" x14ac:dyDescent="0.25">
      <c r="G29" s="4"/>
      <c r="H29" s="4"/>
      <c r="I29" s="4"/>
      <c r="J29" s="4"/>
      <c r="K29" s="4"/>
    </row>
    <row r="30" spans="2:11" x14ac:dyDescent="0.25">
      <c r="B30" t="s">
        <v>40</v>
      </c>
      <c r="G30" s="4"/>
      <c r="H30" s="4"/>
      <c r="I30" s="4"/>
      <c r="J30" s="4"/>
      <c r="K30" s="4"/>
    </row>
    <row r="31" spans="2:11" x14ac:dyDescent="0.25">
      <c r="B31" t="s">
        <v>41</v>
      </c>
      <c r="F31" s="9">
        <f>+SUM(F5:F6)</f>
        <v>-1000000</v>
      </c>
      <c r="G31" s="4">
        <f>+G21</f>
        <v>472002</v>
      </c>
      <c r="H31" s="4">
        <f t="shared" ref="H31:I31" si="7">+H21</f>
        <v>328320</v>
      </c>
      <c r="I31" s="4">
        <f t="shared" si="7"/>
        <v>335310</v>
      </c>
      <c r="J31" s="4">
        <f>+J21+J28</f>
        <v>165130</v>
      </c>
      <c r="K31" s="4"/>
    </row>
    <row r="32" spans="2:11" x14ac:dyDescent="0.25">
      <c r="G32" s="4"/>
      <c r="H32" s="4"/>
      <c r="I32" s="4"/>
      <c r="J32" s="4"/>
      <c r="K32" s="4"/>
    </row>
    <row r="33" spans="2:11" x14ac:dyDescent="0.25">
      <c r="B33" t="s">
        <v>42</v>
      </c>
      <c r="G33" s="4"/>
      <c r="H33" s="4"/>
      <c r="I33" s="4"/>
      <c r="J33" s="4"/>
      <c r="K33" s="4"/>
    </row>
    <row r="34" spans="2:11" x14ac:dyDescent="0.25">
      <c r="G34" s="4"/>
      <c r="H34" s="4"/>
      <c r="I34" s="4"/>
      <c r="J34" s="4"/>
      <c r="K34" s="4"/>
    </row>
    <row r="35" spans="2:11" x14ac:dyDescent="0.25">
      <c r="B35" t="s">
        <v>43</v>
      </c>
      <c r="E35" s="5">
        <v>0.1</v>
      </c>
      <c r="G35" s="4"/>
      <c r="H35" s="4"/>
      <c r="I35" s="4"/>
      <c r="J35" s="4"/>
      <c r="K35" s="4"/>
    </row>
    <row r="37" spans="2:11" x14ac:dyDescent="0.25">
      <c r="E37" t="s">
        <v>49</v>
      </c>
    </row>
    <row r="38" spans="2:11" x14ac:dyDescent="0.25">
      <c r="D38" t="s">
        <v>44</v>
      </c>
      <c r="E38" s="10">
        <f>+NPV(E35,G31:J31)+F31</f>
        <v>65140.948022675933</v>
      </c>
    </row>
    <row r="39" spans="2:11" x14ac:dyDescent="0.25">
      <c r="D39" t="s">
        <v>45</v>
      </c>
    </row>
    <row r="40" spans="2:11" x14ac:dyDescent="0.25">
      <c r="D40" t="s">
        <v>46</v>
      </c>
    </row>
    <row r="41" spans="2:11" x14ac:dyDescent="0.25">
      <c r="D41" t="s">
        <v>47</v>
      </c>
      <c r="E41" s="12">
        <f>2+(-F31-G31-H31)/I31</f>
        <v>2.595502669171811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E8BA-2D2E-489F-8A94-3DEBE640DC84}">
  <dimension ref="B3:J18"/>
  <sheetViews>
    <sheetView workbookViewId="0"/>
  </sheetViews>
  <sheetFormatPr baseColWidth="10" defaultRowHeight="15" x14ac:dyDescent="0.25"/>
  <cols>
    <col min="7" max="7" width="14.5703125" bestFit="1" customWidth="1"/>
  </cols>
  <sheetData>
    <row r="3" spans="2:10" x14ac:dyDescent="0.25">
      <c r="B3" t="s">
        <v>56</v>
      </c>
    </row>
    <row r="4" spans="2:10" x14ac:dyDescent="0.25">
      <c r="G4" s="4"/>
      <c r="H4" s="4"/>
      <c r="I4" s="4"/>
      <c r="J4" s="4"/>
    </row>
    <row r="5" spans="2:10" x14ac:dyDescent="0.25">
      <c r="B5" s="16" t="s">
        <v>57</v>
      </c>
      <c r="G5" s="4"/>
      <c r="H5" s="4"/>
      <c r="I5" s="4"/>
      <c r="J5" s="4"/>
    </row>
    <row r="6" spans="2:10" x14ac:dyDescent="0.25">
      <c r="B6" t="s">
        <v>58</v>
      </c>
      <c r="G6" s="4">
        <v>2500000</v>
      </c>
      <c r="H6" s="4"/>
      <c r="I6" s="4"/>
      <c r="J6" s="4"/>
    </row>
    <row r="7" spans="2:10" x14ac:dyDescent="0.25">
      <c r="B7" t="s">
        <v>59</v>
      </c>
      <c r="G7">
        <v>4</v>
      </c>
      <c r="H7" s="4" t="s">
        <v>6</v>
      </c>
      <c r="I7" s="4"/>
      <c r="J7" s="4"/>
    </row>
    <row r="8" spans="2:10" x14ac:dyDescent="0.25">
      <c r="B8" t="s">
        <v>60</v>
      </c>
      <c r="G8" s="5">
        <v>0.1</v>
      </c>
      <c r="H8" s="4"/>
      <c r="I8" s="4"/>
      <c r="J8" s="4"/>
    </row>
    <row r="9" spans="2:10" x14ac:dyDescent="0.25">
      <c r="B9" t="s">
        <v>61</v>
      </c>
      <c r="G9" s="5">
        <v>0.4</v>
      </c>
      <c r="H9" s="4"/>
      <c r="I9" s="4"/>
      <c r="J9" s="4"/>
    </row>
    <row r="10" spans="2:10" x14ac:dyDescent="0.25">
      <c r="G10" s="4"/>
      <c r="H10" s="4"/>
      <c r="I10" s="4"/>
      <c r="J10" s="4"/>
    </row>
    <row r="11" spans="2:10" x14ac:dyDescent="0.25">
      <c r="B11" s="16" t="s">
        <v>62</v>
      </c>
      <c r="G11" s="4"/>
      <c r="H11" s="4"/>
      <c r="I11" s="4"/>
      <c r="J11" s="4"/>
    </row>
    <row r="12" spans="2:10" x14ac:dyDescent="0.25">
      <c r="B12" t="s">
        <v>63</v>
      </c>
      <c r="G12" s="4">
        <v>400000</v>
      </c>
      <c r="H12" s="4"/>
      <c r="I12" s="4"/>
      <c r="J12" s="4"/>
    </row>
    <row r="13" spans="2:10" x14ac:dyDescent="0.25">
      <c r="B13" t="s">
        <v>64</v>
      </c>
      <c r="G13" s="4">
        <v>1000000</v>
      </c>
      <c r="H13" s="4"/>
      <c r="I13" s="4"/>
      <c r="J13" s="4"/>
    </row>
    <row r="14" spans="2:10" x14ac:dyDescent="0.25">
      <c r="B14" t="s">
        <v>65</v>
      </c>
      <c r="G14" s="4">
        <v>100000</v>
      </c>
      <c r="H14" s="4"/>
      <c r="I14" s="4"/>
      <c r="J14" s="4"/>
    </row>
    <row r="15" spans="2:10" x14ac:dyDescent="0.25">
      <c r="G15" s="4"/>
      <c r="H15" s="4"/>
      <c r="I15" s="4"/>
      <c r="J15" s="4"/>
    </row>
    <row r="16" spans="2:10" x14ac:dyDescent="0.25">
      <c r="B16" s="16" t="s">
        <v>66</v>
      </c>
      <c r="G16" s="4"/>
      <c r="H16" s="4"/>
      <c r="I16" s="4"/>
      <c r="J16" s="4"/>
    </row>
    <row r="17" spans="2:10" x14ac:dyDescent="0.25">
      <c r="B17" t="s">
        <v>67</v>
      </c>
      <c r="G17" s="4">
        <v>2000000</v>
      </c>
      <c r="H17" s="4"/>
      <c r="I17" s="4"/>
      <c r="J17" s="4"/>
    </row>
    <row r="18" spans="2:10" x14ac:dyDescent="0.25">
      <c r="B18" t="s">
        <v>64</v>
      </c>
      <c r="G18" s="4">
        <v>400000</v>
      </c>
      <c r="H18" s="4"/>
      <c r="I18" s="4"/>
      <c r="J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58E1-3F96-4CDF-A47B-AB5C3D6AB18A}">
  <dimension ref="B3:K56"/>
  <sheetViews>
    <sheetView workbookViewId="0"/>
  </sheetViews>
  <sheetFormatPr baseColWidth="10" defaultRowHeight="15" x14ac:dyDescent="0.25"/>
  <cols>
    <col min="4" max="4" width="40.140625" customWidth="1"/>
    <col min="5" max="5" width="14.5703125" bestFit="1" customWidth="1"/>
    <col min="6" max="6" width="13" bestFit="1" customWidth="1"/>
    <col min="7" max="10" width="13.140625" bestFit="1" customWidth="1"/>
  </cols>
  <sheetData>
    <row r="3" spans="2:10" x14ac:dyDescent="0.25">
      <c r="F3">
        <v>0</v>
      </c>
      <c r="G3">
        <v>1</v>
      </c>
      <c r="H3">
        <v>2</v>
      </c>
      <c r="I3">
        <v>3</v>
      </c>
      <c r="J3">
        <v>4</v>
      </c>
    </row>
    <row r="4" spans="2:10" x14ac:dyDescent="0.25">
      <c r="B4" s="15" t="s">
        <v>68</v>
      </c>
      <c r="C4" s="13"/>
      <c r="D4" s="13"/>
      <c r="E4" s="13"/>
      <c r="F4" s="14"/>
      <c r="G4" s="14"/>
      <c r="H4" s="14"/>
      <c r="I4" s="14"/>
      <c r="J4" s="14"/>
    </row>
    <row r="5" spans="2:10" x14ac:dyDescent="0.25">
      <c r="B5" s="13"/>
      <c r="C5" s="13"/>
      <c r="D5" s="13" t="s">
        <v>20</v>
      </c>
      <c r="E5" s="13"/>
      <c r="F5" s="14">
        <v>0</v>
      </c>
      <c r="G5" s="14"/>
      <c r="H5" s="14"/>
      <c r="I5" s="14"/>
      <c r="J5" s="14"/>
    </row>
    <row r="6" spans="2:10" x14ac:dyDescent="0.25">
      <c r="B6" s="13"/>
      <c r="C6" s="13"/>
      <c r="D6" s="13" t="s">
        <v>21</v>
      </c>
      <c r="E6" s="13"/>
      <c r="F6" s="14">
        <v>0</v>
      </c>
      <c r="G6" s="14"/>
      <c r="H6" s="14"/>
      <c r="I6" s="14"/>
      <c r="J6" s="14"/>
    </row>
    <row r="7" spans="2:10" x14ac:dyDescent="0.25">
      <c r="F7" s="4"/>
      <c r="G7" s="4"/>
      <c r="H7" s="4"/>
      <c r="I7" s="4"/>
      <c r="J7" s="4"/>
    </row>
    <row r="8" spans="2:10" x14ac:dyDescent="0.25">
      <c r="B8" s="15" t="s">
        <v>22</v>
      </c>
      <c r="C8" s="13"/>
      <c r="D8" s="13"/>
      <c r="E8" s="13"/>
      <c r="F8" s="14"/>
      <c r="G8" s="14"/>
      <c r="H8" s="14"/>
      <c r="I8" s="14"/>
      <c r="J8" s="14"/>
    </row>
    <row r="9" spans="2:10" x14ac:dyDescent="0.25">
      <c r="B9" s="13"/>
      <c r="C9" s="13"/>
      <c r="D9" s="13" t="s">
        <v>26</v>
      </c>
      <c r="E9" s="13"/>
      <c r="F9" s="14"/>
      <c r="G9" s="14">
        <v>2500000</v>
      </c>
      <c r="H9" s="14">
        <v>2500000</v>
      </c>
      <c r="I9" s="14">
        <v>2500000</v>
      </c>
      <c r="J9" s="14">
        <v>2500000</v>
      </c>
    </row>
    <row r="10" spans="2:10" x14ac:dyDescent="0.25">
      <c r="B10" s="13"/>
      <c r="C10" s="13"/>
      <c r="D10" s="13" t="s">
        <v>69</v>
      </c>
      <c r="E10" s="13"/>
      <c r="F10" s="14"/>
      <c r="G10" s="14">
        <v>1000000</v>
      </c>
      <c r="H10" s="14">
        <v>1000000</v>
      </c>
      <c r="I10" s="14">
        <v>1000000</v>
      </c>
      <c r="J10" s="14">
        <v>1000000</v>
      </c>
    </row>
    <row r="11" spans="2:10" ht="15.75" thickBot="1" x14ac:dyDescent="0.3">
      <c r="B11" s="13"/>
      <c r="C11" s="13"/>
      <c r="D11" s="13" t="s">
        <v>70</v>
      </c>
      <c r="E11" s="13"/>
      <c r="F11" s="14"/>
      <c r="G11" s="20">
        <v>100000</v>
      </c>
      <c r="H11" s="20">
        <v>100000</v>
      </c>
      <c r="I11" s="20">
        <v>100000</v>
      </c>
      <c r="J11" s="20">
        <v>100000</v>
      </c>
    </row>
    <row r="12" spans="2:10" x14ac:dyDescent="0.25">
      <c r="B12" s="13"/>
      <c r="C12" s="13"/>
      <c r="D12" s="13" t="s">
        <v>30</v>
      </c>
      <c r="E12" s="13"/>
      <c r="F12" s="14"/>
      <c r="G12" s="14">
        <f>+SUM(G10:G11)</f>
        <v>1100000</v>
      </c>
      <c r="H12" s="14">
        <f>+SUM(H10:H11)</f>
        <v>1100000</v>
      </c>
      <c r="I12" s="14">
        <f>+SUM(I10:I11)</f>
        <v>1100000</v>
      </c>
      <c r="J12" s="14">
        <f>+SUM(J10:J11)</f>
        <v>1100000</v>
      </c>
    </row>
    <row r="13" spans="2:10" x14ac:dyDescent="0.25">
      <c r="B13" s="13"/>
      <c r="C13" s="13"/>
      <c r="D13" s="13" t="s">
        <v>31</v>
      </c>
      <c r="E13" s="13"/>
      <c r="F13" s="14"/>
      <c r="G13" s="14">
        <f>+G9-G12</f>
        <v>1400000</v>
      </c>
      <c r="H13" s="14">
        <f>+H9-H12</f>
        <v>1400000</v>
      </c>
      <c r="I13" s="14">
        <f>+I9-I12</f>
        <v>1400000</v>
      </c>
      <c r="J13" s="14">
        <f>+J9-J12</f>
        <v>1400000</v>
      </c>
    </row>
    <row r="14" spans="2:10" x14ac:dyDescent="0.25">
      <c r="B14" s="13"/>
      <c r="C14" s="13"/>
      <c r="D14" s="13" t="s">
        <v>33</v>
      </c>
      <c r="E14" s="21">
        <v>0.4</v>
      </c>
      <c r="F14" s="14"/>
      <c r="G14" s="14">
        <f>+$E$14*G13</f>
        <v>560000</v>
      </c>
      <c r="H14" s="14">
        <f t="shared" ref="H14:J14" si="0">+$E$14*H13</f>
        <v>560000</v>
      </c>
      <c r="I14" s="14">
        <f t="shared" si="0"/>
        <v>560000</v>
      </c>
      <c r="J14" s="14">
        <f t="shared" si="0"/>
        <v>560000</v>
      </c>
    </row>
    <row r="15" spans="2:10" x14ac:dyDescent="0.25">
      <c r="B15" s="13"/>
      <c r="C15" s="13"/>
      <c r="D15" s="13" t="s">
        <v>34</v>
      </c>
      <c r="E15" s="13"/>
      <c r="F15" s="14"/>
      <c r="G15" s="14">
        <f>+G13-G14</f>
        <v>840000</v>
      </c>
      <c r="H15" s="14">
        <f t="shared" ref="H15:J15" si="1">+H13-H14</f>
        <v>840000</v>
      </c>
      <c r="I15" s="14">
        <f t="shared" si="1"/>
        <v>840000</v>
      </c>
      <c r="J15" s="14">
        <f t="shared" si="1"/>
        <v>840000</v>
      </c>
    </row>
    <row r="16" spans="2:10" x14ac:dyDescent="0.25">
      <c r="B16" s="13"/>
      <c r="C16" s="13"/>
      <c r="D16" s="13"/>
      <c r="E16" s="13"/>
      <c r="F16" s="14"/>
      <c r="G16" s="13"/>
      <c r="H16" s="13"/>
      <c r="I16" s="13"/>
      <c r="J16" s="13"/>
    </row>
    <row r="17" spans="2:10" x14ac:dyDescent="0.25">
      <c r="B17" s="13"/>
      <c r="C17" s="13"/>
      <c r="D17" s="13" t="s">
        <v>73</v>
      </c>
      <c r="E17" s="13"/>
      <c r="F17" s="14"/>
      <c r="G17" s="14">
        <f>+G15+G11</f>
        <v>940000</v>
      </c>
      <c r="H17" s="14">
        <f>+H15+H11</f>
        <v>940000</v>
      </c>
      <c r="I17" s="14">
        <f>+I15+I11</f>
        <v>940000</v>
      </c>
      <c r="J17" s="14">
        <f>+J15+J11</f>
        <v>940000</v>
      </c>
    </row>
    <row r="19" spans="2:10" x14ac:dyDescent="0.25">
      <c r="F19">
        <v>0</v>
      </c>
      <c r="G19">
        <v>1</v>
      </c>
      <c r="H19">
        <v>2</v>
      </c>
      <c r="I19">
        <v>3</v>
      </c>
      <c r="J19">
        <v>4</v>
      </c>
    </row>
    <row r="20" spans="2:10" x14ac:dyDescent="0.25">
      <c r="B20" s="15" t="s">
        <v>71</v>
      </c>
      <c r="C20" s="13"/>
      <c r="D20" s="13"/>
      <c r="E20" s="13"/>
      <c r="F20" s="14"/>
      <c r="G20" s="14"/>
      <c r="H20" s="14"/>
      <c r="I20" s="14"/>
      <c r="J20" s="14"/>
    </row>
    <row r="21" spans="2:10" x14ac:dyDescent="0.25">
      <c r="B21" s="13"/>
      <c r="C21" s="13"/>
      <c r="D21" s="13" t="s">
        <v>20</v>
      </c>
      <c r="E21" s="13"/>
      <c r="F21" s="14">
        <v>-1600000</v>
      </c>
      <c r="G21" s="22" t="s">
        <v>72</v>
      </c>
      <c r="H21" s="14"/>
      <c r="I21" s="14"/>
      <c r="J21" s="14"/>
    </row>
    <row r="22" spans="2:10" x14ac:dyDescent="0.25">
      <c r="B22" s="13"/>
      <c r="C22" s="13"/>
      <c r="D22" s="13" t="s">
        <v>21</v>
      </c>
      <c r="E22" s="13"/>
      <c r="F22" s="14">
        <v>0</v>
      </c>
      <c r="G22" s="14"/>
      <c r="H22" s="14"/>
      <c r="I22" s="14"/>
      <c r="J22" s="14"/>
    </row>
    <row r="23" spans="2:10" x14ac:dyDescent="0.25">
      <c r="F23" s="4"/>
      <c r="G23" s="4"/>
      <c r="H23" s="4"/>
      <c r="I23" s="4"/>
      <c r="J23" s="4"/>
    </row>
    <row r="24" spans="2:10" x14ac:dyDescent="0.25">
      <c r="B24" s="15" t="s">
        <v>22</v>
      </c>
      <c r="C24" s="13"/>
      <c r="D24" s="13"/>
      <c r="E24" s="13"/>
      <c r="F24" s="14"/>
      <c r="G24" s="14"/>
      <c r="H24" s="14"/>
      <c r="I24" s="14"/>
      <c r="J24" s="14"/>
    </row>
    <row r="25" spans="2:10" x14ac:dyDescent="0.25">
      <c r="B25" s="13"/>
      <c r="C25" s="13"/>
      <c r="D25" s="13" t="s">
        <v>26</v>
      </c>
      <c r="E25" s="13"/>
      <c r="F25" s="14"/>
      <c r="G25" s="14">
        <v>2500000</v>
      </c>
      <c r="H25" s="14">
        <v>2500000</v>
      </c>
      <c r="I25" s="14">
        <v>2500000</v>
      </c>
      <c r="J25" s="14">
        <v>2500000</v>
      </c>
    </row>
    <row r="26" spans="2:10" x14ac:dyDescent="0.25">
      <c r="B26" s="13"/>
      <c r="C26" s="13"/>
      <c r="D26" s="13" t="s">
        <v>69</v>
      </c>
      <c r="E26" s="13"/>
      <c r="F26" s="14"/>
      <c r="G26" s="14">
        <v>400000</v>
      </c>
      <c r="H26" s="14">
        <v>400000</v>
      </c>
      <c r="I26" s="14">
        <v>400000</v>
      </c>
      <c r="J26" s="14">
        <v>400000</v>
      </c>
    </row>
    <row r="27" spans="2:10" ht="15.75" thickBot="1" x14ac:dyDescent="0.3">
      <c r="B27" s="13"/>
      <c r="C27" s="13"/>
      <c r="D27" s="13" t="s">
        <v>70</v>
      </c>
      <c r="E27" s="13"/>
      <c r="F27" s="14"/>
      <c r="G27" s="20">
        <v>660000</v>
      </c>
      <c r="H27" s="20">
        <v>900000</v>
      </c>
      <c r="I27" s="20">
        <v>300000</v>
      </c>
      <c r="J27" s="20">
        <v>140000</v>
      </c>
    </row>
    <row r="28" spans="2:10" x14ac:dyDescent="0.25">
      <c r="B28" s="13"/>
      <c r="C28" s="13"/>
      <c r="D28" s="13" t="s">
        <v>30</v>
      </c>
      <c r="E28" s="13"/>
      <c r="F28" s="14"/>
      <c r="G28" s="14">
        <f>+SUM(G26:G27)</f>
        <v>1060000</v>
      </c>
      <c r="H28" s="14">
        <f>+SUM(H26:H27)</f>
        <v>1300000</v>
      </c>
      <c r="I28" s="14">
        <f>+SUM(I26:I27)</f>
        <v>700000</v>
      </c>
      <c r="J28" s="14">
        <f>+SUM(J26:J27)</f>
        <v>540000</v>
      </c>
    </row>
    <row r="29" spans="2:10" x14ac:dyDescent="0.25">
      <c r="B29" s="13"/>
      <c r="C29" s="13"/>
      <c r="D29" s="13" t="s">
        <v>31</v>
      </c>
      <c r="E29" s="13"/>
      <c r="F29" s="14"/>
      <c r="G29" s="14">
        <f>+G25-G28</f>
        <v>1440000</v>
      </c>
      <c r="H29" s="14">
        <f>+H25-H28</f>
        <v>1200000</v>
      </c>
      <c r="I29" s="14">
        <f>+I25-I28</f>
        <v>1800000</v>
      </c>
      <c r="J29" s="14">
        <f>+J25-J28</f>
        <v>1960000</v>
      </c>
    </row>
    <row r="30" spans="2:10" x14ac:dyDescent="0.25">
      <c r="B30" s="13"/>
      <c r="C30" s="13"/>
      <c r="D30" s="13" t="s">
        <v>33</v>
      </c>
      <c r="E30" s="21">
        <v>0.4</v>
      </c>
      <c r="F30" s="14"/>
      <c r="G30" s="14">
        <f>+$E$14*G29</f>
        <v>576000</v>
      </c>
      <c r="H30" s="14">
        <f t="shared" ref="H30" si="2">+$E$14*H29</f>
        <v>480000</v>
      </c>
      <c r="I30" s="14">
        <f t="shared" ref="I30" si="3">+$E$14*I29</f>
        <v>720000</v>
      </c>
      <c r="J30" s="14">
        <f t="shared" ref="J30" si="4">+$E$14*J29</f>
        <v>784000</v>
      </c>
    </row>
    <row r="31" spans="2:10" x14ac:dyDescent="0.25">
      <c r="B31" s="13"/>
      <c r="C31" s="13"/>
      <c r="D31" s="13" t="s">
        <v>34</v>
      </c>
      <c r="E31" s="13"/>
      <c r="F31" s="14"/>
      <c r="G31" s="14">
        <f>+G29-G30</f>
        <v>864000</v>
      </c>
      <c r="H31" s="14">
        <f t="shared" ref="H31" si="5">+H29-H30</f>
        <v>720000</v>
      </c>
      <c r="I31" s="14">
        <f t="shared" ref="I31" si="6">+I29-I30</f>
        <v>1080000</v>
      </c>
      <c r="J31" s="14">
        <f t="shared" ref="J31" si="7">+J29-J30</f>
        <v>1176000</v>
      </c>
    </row>
    <row r="32" spans="2:10" x14ac:dyDescent="0.25">
      <c r="B32" s="13"/>
      <c r="C32" s="13"/>
      <c r="D32" s="13"/>
      <c r="E32" s="13"/>
      <c r="F32" s="14"/>
      <c r="G32" s="13"/>
      <c r="H32" s="13"/>
      <c r="I32" s="13"/>
      <c r="J32" s="13"/>
    </row>
    <row r="33" spans="2:11" x14ac:dyDescent="0.25">
      <c r="B33" s="13"/>
      <c r="C33" s="13"/>
      <c r="D33" s="13" t="s">
        <v>73</v>
      </c>
      <c r="E33" s="13"/>
      <c r="F33" s="14">
        <v>-1600000</v>
      </c>
      <c r="G33" s="14">
        <f>+G31+G27</f>
        <v>1524000</v>
      </c>
      <c r="H33" s="14">
        <f>+H31+H27</f>
        <v>1620000</v>
      </c>
      <c r="I33" s="14">
        <f>+I31+I27</f>
        <v>1380000</v>
      </c>
      <c r="J33" s="14">
        <f>+J31+J27</f>
        <v>1316000</v>
      </c>
    </row>
    <row r="35" spans="2:11" x14ac:dyDescent="0.25">
      <c r="B35" s="15" t="s">
        <v>74</v>
      </c>
      <c r="C35" s="13"/>
      <c r="D35" s="13"/>
      <c r="E35" s="13"/>
      <c r="F35" s="13"/>
      <c r="G35" s="14"/>
      <c r="H35" s="14"/>
      <c r="I35" s="14"/>
      <c r="J35" s="14"/>
      <c r="K35" s="4"/>
    </row>
    <row r="36" spans="2:11" x14ac:dyDescent="0.25">
      <c r="B36" s="13"/>
      <c r="C36" s="13"/>
      <c r="D36" s="13"/>
      <c r="E36" s="13"/>
      <c r="F36" s="13"/>
      <c r="G36" s="14"/>
      <c r="H36" s="14"/>
      <c r="I36" s="14"/>
      <c r="J36" s="14"/>
      <c r="K36" s="4"/>
    </row>
    <row r="37" spans="2:11" x14ac:dyDescent="0.25">
      <c r="B37" s="13"/>
      <c r="C37" s="13"/>
      <c r="D37" s="13" t="s">
        <v>75</v>
      </c>
      <c r="E37" s="13"/>
      <c r="F37" s="23">
        <f>+F33-F17</f>
        <v>-1600000</v>
      </c>
      <c r="G37" s="23">
        <f>+G33-G17</f>
        <v>584000</v>
      </c>
      <c r="H37" s="23">
        <f t="shared" ref="H37:J37" si="8">+H33-H17</f>
        <v>680000</v>
      </c>
      <c r="I37" s="23">
        <f t="shared" si="8"/>
        <v>440000</v>
      </c>
      <c r="J37" s="23">
        <f t="shared" si="8"/>
        <v>376000</v>
      </c>
      <c r="K37" s="4"/>
    </row>
    <row r="38" spans="2:11" x14ac:dyDescent="0.25">
      <c r="B38" s="13"/>
      <c r="C38" s="13"/>
      <c r="D38" s="13"/>
      <c r="E38" s="13"/>
      <c r="F38" s="13"/>
      <c r="G38" s="14"/>
      <c r="H38" s="14"/>
      <c r="I38" s="14"/>
      <c r="J38" s="14"/>
      <c r="K38" s="4"/>
    </row>
    <row r="39" spans="2:11" x14ac:dyDescent="0.25">
      <c r="G39" s="4"/>
      <c r="H39" s="4"/>
      <c r="I39" s="4"/>
      <c r="J39" s="4"/>
      <c r="K39" s="4"/>
    </row>
    <row r="40" spans="2:11" x14ac:dyDescent="0.25">
      <c r="B40" t="s">
        <v>43</v>
      </c>
      <c r="E40" s="5">
        <v>0.1</v>
      </c>
      <c r="K40" s="4"/>
    </row>
    <row r="41" spans="2:11" x14ac:dyDescent="0.25">
      <c r="K41" s="4"/>
    </row>
    <row r="42" spans="2:11" x14ac:dyDescent="0.25">
      <c r="D42" t="s">
        <v>44</v>
      </c>
      <c r="E42" s="10">
        <f>+NPV(E40,G37:J37)+F37</f>
        <v>80284.133597431472</v>
      </c>
      <c r="F42" t="s">
        <v>76</v>
      </c>
      <c r="G42" s="4"/>
      <c r="H42" s="4"/>
      <c r="I42" s="4"/>
      <c r="J42" s="4"/>
      <c r="K42" s="4"/>
    </row>
    <row r="43" spans="2:11" x14ac:dyDescent="0.25">
      <c r="D43" t="s">
        <v>45</v>
      </c>
      <c r="E43" s="11">
        <f>+IRR(F37:J37,0.1)</f>
        <v>0.12505075516433761</v>
      </c>
      <c r="G43" s="4"/>
      <c r="H43" s="4"/>
      <c r="I43" s="4"/>
      <c r="J43" s="4"/>
      <c r="K43" s="4"/>
    </row>
    <row r="44" spans="2:11" x14ac:dyDescent="0.25">
      <c r="D44" t="s">
        <v>46</v>
      </c>
      <c r="E44" s="11">
        <f>+MIRR(F37:J37,E40,E40)</f>
        <v>0.11354653563129613</v>
      </c>
    </row>
    <row r="45" spans="2:11" x14ac:dyDescent="0.25">
      <c r="D45" t="s">
        <v>47</v>
      </c>
      <c r="E45" s="2">
        <f>2+(-F37-G37-H37)/I37</f>
        <v>2.7636363636363637</v>
      </c>
    </row>
    <row r="46" spans="2:11" x14ac:dyDescent="0.25">
      <c r="E46" s="10"/>
      <c r="F46" s="10"/>
    </row>
    <row r="47" spans="2:11" x14ac:dyDescent="0.25">
      <c r="B47" t="s">
        <v>77</v>
      </c>
      <c r="E47" s="11"/>
      <c r="F47" s="11"/>
    </row>
    <row r="48" spans="2:11" x14ac:dyDescent="0.25">
      <c r="E48" s="11"/>
      <c r="F48">
        <v>0</v>
      </c>
      <c r="G48">
        <v>1</v>
      </c>
      <c r="H48">
        <v>2</v>
      </c>
      <c r="I48">
        <v>3</v>
      </c>
      <c r="J48">
        <v>4</v>
      </c>
    </row>
    <row r="49" spans="4:10" x14ac:dyDescent="0.25">
      <c r="D49" t="s">
        <v>78</v>
      </c>
      <c r="F49" s="4">
        <v>-1600000</v>
      </c>
    </row>
    <row r="50" spans="4:10" x14ac:dyDescent="0.25">
      <c r="D50" t="s">
        <v>79</v>
      </c>
      <c r="G50" s="9">
        <f>+G10-G26</f>
        <v>600000</v>
      </c>
      <c r="H50" s="9">
        <f t="shared" ref="H50:J50" si="9">+H10-H26</f>
        <v>600000</v>
      </c>
      <c r="I50" s="9">
        <f t="shared" si="9"/>
        <v>600000</v>
      </c>
      <c r="J50" s="9">
        <f t="shared" si="9"/>
        <v>600000</v>
      </c>
    </row>
    <row r="51" spans="4:10" x14ac:dyDescent="0.25">
      <c r="D51" t="s">
        <v>83</v>
      </c>
      <c r="G51" s="23">
        <f>+G50*(1-$E$30)</f>
        <v>360000</v>
      </c>
      <c r="H51" s="23">
        <f t="shared" ref="H51:J51" si="10">+H50*(1-$E$30)</f>
        <v>360000</v>
      </c>
      <c r="I51" s="23">
        <f t="shared" si="10"/>
        <v>360000</v>
      </c>
      <c r="J51" s="23">
        <f t="shared" si="10"/>
        <v>360000</v>
      </c>
    </row>
    <row r="53" spans="4:10" x14ac:dyDescent="0.25">
      <c r="D53" t="s">
        <v>80</v>
      </c>
      <c r="E53" t="s">
        <v>84</v>
      </c>
      <c r="G53" s="9">
        <f>+G27-G11</f>
        <v>560000</v>
      </c>
      <c r="H53" s="9">
        <f t="shared" ref="H53:J53" si="11">+H27-H11</f>
        <v>800000</v>
      </c>
      <c r="I53" s="9">
        <f t="shared" si="11"/>
        <v>200000</v>
      </c>
      <c r="J53" s="9">
        <f t="shared" si="11"/>
        <v>40000</v>
      </c>
    </row>
    <row r="54" spans="4:10" x14ac:dyDescent="0.25">
      <c r="D54" t="s">
        <v>81</v>
      </c>
      <c r="G54" s="23">
        <f>+$E$30*G53</f>
        <v>224000</v>
      </c>
      <c r="H54" s="23">
        <f t="shared" ref="H54:J54" si="12">+$E$30*H53</f>
        <v>320000</v>
      </c>
      <c r="I54" s="23">
        <f t="shared" si="12"/>
        <v>80000</v>
      </c>
      <c r="J54" s="23">
        <f t="shared" si="12"/>
        <v>16000</v>
      </c>
    </row>
    <row r="56" spans="4:10" x14ac:dyDescent="0.25">
      <c r="D56" t="s">
        <v>82</v>
      </c>
      <c r="F56" s="9">
        <f>+F49</f>
        <v>-1600000</v>
      </c>
      <c r="G56" s="9">
        <f>+G51+G54</f>
        <v>584000</v>
      </c>
      <c r="H56" s="9">
        <f t="shared" ref="H56:J56" si="13">+H51+H54</f>
        <v>680000</v>
      </c>
      <c r="I56" s="9">
        <f t="shared" si="13"/>
        <v>440000</v>
      </c>
      <c r="J56" s="9">
        <f t="shared" si="13"/>
        <v>376000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24DE-8244-4718-8624-E904D5789F5D}">
  <dimension ref="B3:L89"/>
  <sheetViews>
    <sheetView workbookViewId="0"/>
  </sheetViews>
  <sheetFormatPr baseColWidth="10" defaultRowHeight="15" x14ac:dyDescent="0.25"/>
  <cols>
    <col min="4" max="4" width="40.140625" customWidth="1"/>
    <col min="5" max="5" width="13.85546875" customWidth="1"/>
    <col min="6" max="6" width="13" bestFit="1" customWidth="1"/>
    <col min="7" max="7" width="20.42578125" bestFit="1" customWidth="1"/>
    <col min="8" max="10" width="13.140625" bestFit="1" customWidth="1"/>
  </cols>
  <sheetData>
    <row r="3" spans="2:12" x14ac:dyDescent="0.25">
      <c r="F3">
        <v>0</v>
      </c>
      <c r="G3">
        <v>1</v>
      </c>
      <c r="H3">
        <v>2</v>
      </c>
      <c r="I3">
        <v>3</v>
      </c>
      <c r="J3">
        <v>4</v>
      </c>
      <c r="L3" t="s">
        <v>85</v>
      </c>
    </row>
    <row r="4" spans="2:12" x14ac:dyDescent="0.25">
      <c r="B4" s="15" t="s">
        <v>19</v>
      </c>
      <c r="C4" s="13"/>
      <c r="D4" s="13"/>
      <c r="E4" s="13"/>
      <c r="F4" s="14"/>
      <c r="G4" s="14"/>
      <c r="H4" s="14"/>
      <c r="I4" s="14"/>
      <c r="J4" s="14"/>
    </row>
    <row r="5" spans="2:12" x14ac:dyDescent="0.25">
      <c r="B5" s="13"/>
      <c r="C5" s="13"/>
      <c r="D5" s="13" t="s">
        <v>20</v>
      </c>
      <c r="E5" s="13"/>
      <c r="F5" s="14">
        <f>-900000*L5</f>
        <v>-900000</v>
      </c>
      <c r="G5" s="14"/>
      <c r="H5" s="14"/>
      <c r="I5" s="14"/>
      <c r="J5" s="14"/>
      <c r="L5" s="13">
        <v>1</v>
      </c>
    </row>
    <row r="6" spans="2:12" x14ac:dyDescent="0.25">
      <c r="B6" s="13"/>
      <c r="C6" s="13"/>
      <c r="D6" s="13" t="s">
        <v>21</v>
      </c>
      <c r="E6" s="13"/>
      <c r="F6" s="14">
        <v>-100000</v>
      </c>
      <c r="G6" s="14"/>
      <c r="H6" s="14"/>
      <c r="I6" s="14"/>
      <c r="J6" s="14"/>
    </row>
    <row r="7" spans="2:12" x14ac:dyDescent="0.25">
      <c r="F7" s="4"/>
      <c r="G7" s="4"/>
      <c r="H7" s="4"/>
      <c r="I7" s="4"/>
      <c r="J7" s="4"/>
    </row>
    <row r="8" spans="2:12" x14ac:dyDescent="0.25">
      <c r="B8" s="15" t="s">
        <v>22</v>
      </c>
      <c r="C8" s="13"/>
      <c r="D8" s="13"/>
      <c r="E8" s="13"/>
      <c r="F8" s="14"/>
      <c r="G8" s="14"/>
      <c r="H8" s="14"/>
      <c r="I8" s="14"/>
      <c r="J8" s="14"/>
    </row>
    <row r="9" spans="2:12" x14ac:dyDescent="0.25">
      <c r="B9" s="13"/>
      <c r="C9" s="13"/>
      <c r="D9" s="13" t="s">
        <v>23</v>
      </c>
      <c r="E9" s="13"/>
      <c r="F9" s="14"/>
      <c r="G9" s="17">
        <f>(+'DATOS PROY EXPANSION'!G12)*(+$L$9)</f>
        <v>2685000</v>
      </c>
      <c r="H9" s="17">
        <f>(+'DATOS PROY EXPANSION'!G13)*(+$L$9)</f>
        <v>2600000</v>
      </c>
      <c r="I9" s="17">
        <f>(+'DATOS PROY EXPANSION'!G14)*(+$L$9)</f>
        <v>2525000</v>
      </c>
      <c r="J9" s="17">
        <f>(+'DATOS PROY EXPANSION'!G15)*(+$L$9)</f>
        <v>2450000</v>
      </c>
      <c r="L9" s="25">
        <v>1</v>
      </c>
    </row>
    <row r="10" spans="2:12" x14ac:dyDescent="0.25">
      <c r="B10" s="13"/>
      <c r="C10" s="13"/>
      <c r="D10" s="13" t="s">
        <v>24</v>
      </c>
      <c r="E10" s="13"/>
      <c r="F10" s="14"/>
      <c r="G10" s="24">
        <f>2*$L10</f>
        <v>2</v>
      </c>
      <c r="H10" s="24">
        <f t="shared" ref="H10:J10" si="0">2*$L10</f>
        <v>2</v>
      </c>
      <c r="I10" s="24">
        <f t="shared" si="0"/>
        <v>2</v>
      </c>
      <c r="J10" s="24">
        <f t="shared" si="0"/>
        <v>2</v>
      </c>
      <c r="L10" s="25">
        <v>1</v>
      </c>
    </row>
    <row r="11" spans="2:12" x14ac:dyDescent="0.25">
      <c r="B11" s="13"/>
      <c r="C11" s="13"/>
      <c r="D11" s="13" t="s">
        <v>25</v>
      </c>
      <c r="E11" s="13"/>
      <c r="F11" s="14"/>
      <c r="G11" s="13">
        <f>(+'DATOS PROY EXPANSION'!G21)*(+$L$11)</f>
        <v>1.018</v>
      </c>
      <c r="H11" s="13">
        <f>(+'DATOS PROY EXPANSION'!G22)*(+$L$11)</f>
        <v>1.0780000000000001</v>
      </c>
      <c r="I11" s="13">
        <f>(+'DATOS PROY EXPANSION'!G23)*(+$L$11)</f>
        <v>1.046</v>
      </c>
      <c r="J11" s="13">
        <f>(+'DATOS PROY EXPANSION'!G24)*(+$L$11)</f>
        <v>1.2210000000000001</v>
      </c>
      <c r="L11" s="25">
        <v>1</v>
      </c>
    </row>
    <row r="12" spans="2:12" x14ac:dyDescent="0.25">
      <c r="B12" s="13"/>
      <c r="C12" s="13"/>
      <c r="D12" s="13" t="s">
        <v>26</v>
      </c>
      <c r="E12" s="13"/>
      <c r="F12" s="14"/>
      <c r="G12" s="19">
        <f>+G10*G9</f>
        <v>5370000</v>
      </c>
      <c r="H12" s="19">
        <f t="shared" ref="H12:J12" si="1">+H10*H9</f>
        <v>5200000</v>
      </c>
      <c r="I12" s="19">
        <f t="shared" si="1"/>
        <v>5050000</v>
      </c>
      <c r="J12" s="19">
        <f t="shared" si="1"/>
        <v>4900000</v>
      </c>
      <c r="L12" s="26"/>
    </row>
    <row r="13" spans="2:12" x14ac:dyDescent="0.25">
      <c r="B13" s="13"/>
      <c r="C13" s="13"/>
      <c r="D13" s="13" t="s">
        <v>27</v>
      </c>
      <c r="E13" s="13"/>
      <c r="F13" s="14"/>
      <c r="G13" s="14">
        <f>+G11*G9</f>
        <v>2733330</v>
      </c>
      <c r="H13" s="14">
        <f t="shared" ref="H13:J13" si="2">+H11*H9</f>
        <v>2802800</v>
      </c>
      <c r="I13" s="14">
        <f t="shared" si="2"/>
        <v>2641150</v>
      </c>
      <c r="J13" s="14">
        <f t="shared" si="2"/>
        <v>2991450</v>
      </c>
      <c r="L13" s="26"/>
    </row>
    <row r="14" spans="2:12" x14ac:dyDescent="0.25">
      <c r="B14" s="13"/>
      <c r="C14" s="13"/>
      <c r="D14" s="13" t="s">
        <v>28</v>
      </c>
      <c r="E14" s="13"/>
      <c r="F14" s="14"/>
      <c r="G14" s="14">
        <f>(+'DATOS PROY EXPANSION'!$G$19)*(+$L$14)</f>
        <v>2000000</v>
      </c>
      <c r="H14" s="14">
        <f>(+'DATOS PROY EXPANSION'!$G$19)*(+$L$14)</f>
        <v>2000000</v>
      </c>
      <c r="I14" s="14">
        <f>(+'DATOS PROY EXPANSION'!$G$19)*(+$L$14)</f>
        <v>2000000</v>
      </c>
      <c r="J14" s="14">
        <f>(+'DATOS PROY EXPANSION'!$G$19)*(+$L$14)</f>
        <v>2000000</v>
      </c>
      <c r="L14" s="25">
        <v>1</v>
      </c>
    </row>
    <row r="15" spans="2:12" ht="15.75" thickBot="1" x14ac:dyDescent="0.3">
      <c r="B15" s="13"/>
      <c r="C15" s="13"/>
      <c r="D15" s="13" t="s">
        <v>29</v>
      </c>
      <c r="E15" s="13"/>
      <c r="F15" s="14"/>
      <c r="G15" s="20">
        <f>-$F$5*0.33</f>
        <v>297000</v>
      </c>
      <c r="H15" s="20">
        <f>-$F$5*0.45</f>
        <v>405000</v>
      </c>
      <c r="I15" s="20">
        <f>-$F$5*0.15</f>
        <v>135000</v>
      </c>
      <c r="J15" s="20">
        <f>-$F$5*0.07</f>
        <v>63000.000000000007</v>
      </c>
    </row>
    <row r="16" spans="2:12" x14ac:dyDescent="0.25">
      <c r="B16" s="13"/>
      <c r="C16" s="13"/>
      <c r="D16" s="13" t="s">
        <v>30</v>
      </c>
      <c r="E16" s="13"/>
      <c r="F16" s="14"/>
      <c r="G16" s="14">
        <f>+SUM(G13:G15)</f>
        <v>5030330</v>
      </c>
      <c r="H16" s="14">
        <f t="shared" ref="H16:J16" si="3">+SUM(H13:H15)</f>
        <v>5207800</v>
      </c>
      <c r="I16" s="14">
        <f t="shared" si="3"/>
        <v>4776150</v>
      </c>
      <c r="J16" s="14">
        <f t="shared" si="3"/>
        <v>5054450</v>
      </c>
    </row>
    <row r="17" spans="2:11" x14ac:dyDescent="0.25">
      <c r="B17" s="13"/>
      <c r="C17" s="13"/>
      <c r="D17" s="13" t="s">
        <v>31</v>
      </c>
      <c r="E17" s="13"/>
      <c r="F17" s="14"/>
      <c r="G17" s="14">
        <f>+G12-G16</f>
        <v>339670</v>
      </c>
      <c r="H17" s="14">
        <f t="shared" ref="H17:J17" si="4">+H12-H16</f>
        <v>-7800</v>
      </c>
      <c r="I17" s="14">
        <f t="shared" si="4"/>
        <v>273850</v>
      </c>
      <c r="J17" s="14">
        <f t="shared" si="4"/>
        <v>-154450</v>
      </c>
    </row>
    <row r="18" spans="2:11" x14ac:dyDescent="0.25">
      <c r="B18" s="13"/>
      <c r="C18" s="13"/>
      <c r="D18" s="13" t="s">
        <v>33</v>
      </c>
      <c r="E18" s="21">
        <v>0.4</v>
      </c>
      <c r="F18" s="14"/>
      <c r="G18" s="14">
        <f>+$E$18*G17</f>
        <v>135868</v>
      </c>
      <c r="H18" s="14">
        <f t="shared" ref="H18:J18" si="5">+$E$18*H17</f>
        <v>-3120</v>
      </c>
      <c r="I18" s="14">
        <f t="shared" si="5"/>
        <v>109540</v>
      </c>
      <c r="J18" s="14">
        <f t="shared" si="5"/>
        <v>-61780</v>
      </c>
    </row>
    <row r="19" spans="2:11" x14ac:dyDescent="0.25">
      <c r="B19" s="13"/>
      <c r="C19" s="13"/>
      <c r="D19" s="13" t="s">
        <v>34</v>
      </c>
      <c r="E19" s="13"/>
      <c r="F19" s="14"/>
      <c r="G19" s="14">
        <f>+G17-G18</f>
        <v>203802</v>
      </c>
      <c r="H19" s="14">
        <f t="shared" ref="H19:J19" si="6">+H17-H18</f>
        <v>-4680</v>
      </c>
      <c r="I19" s="14">
        <f t="shared" si="6"/>
        <v>164310</v>
      </c>
      <c r="J19" s="14">
        <f t="shared" si="6"/>
        <v>-92670</v>
      </c>
    </row>
    <row r="20" spans="2:11" x14ac:dyDescent="0.25">
      <c r="B20" s="13"/>
      <c r="C20" s="13"/>
      <c r="D20" s="13"/>
      <c r="E20" s="13"/>
      <c r="F20" s="14"/>
      <c r="G20" s="13"/>
      <c r="H20" s="13"/>
      <c r="I20" s="13"/>
      <c r="J20" s="13"/>
    </row>
    <row r="21" spans="2:11" x14ac:dyDescent="0.25">
      <c r="B21" s="13"/>
      <c r="C21" s="13"/>
      <c r="D21" s="13" t="s">
        <v>35</v>
      </c>
      <c r="E21" s="13"/>
      <c r="F21" s="14"/>
      <c r="G21" s="14">
        <f>+G19+G15</f>
        <v>500802</v>
      </c>
      <c r="H21" s="14">
        <f>+H19+H15</f>
        <v>400320</v>
      </c>
      <c r="I21" s="14">
        <f>+I19+I15</f>
        <v>299310</v>
      </c>
      <c r="J21" s="14">
        <f>+J19+J15</f>
        <v>-29669.999999999993</v>
      </c>
    </row>
    <row r="23" spans="2:11" x14ac:dyDescent="0.25">
      <c r="B23" s="15" t="s">
        <v>36</v>
      </c>
      <c r="C23" s="13"/>
      <c r="D23" s="13"/>
      <c r="E23" s="13"/>
      <c r="F23" s="13"/>
      <c r="G23" s="14"/>
      <c r="H23" s="14"/>
      <c r="I23" s="14"/>
      <c r="J23" s="14"/>
      <c r="K23" s="4"/>
    </row>
    <row r="24" spans="2:11" x14ac:dyDescent="0.25">
      <c r="B24" s="13"/>
      <c r="C24" s="13"/>
      <c r="D24" s="13" t="s">
        <v>37</v>
      </c>
      <c r="E24" s="13"/>
      <c r="F24" s="13"/>
      <c r="G24" s="14"/>
      <c r="H24" s="14"/>
      <c r="I24" s="14"/>
      <c r="J24" s="14">
        <v>50000</v>
      </c>
      <c r="K24" s="4"/>
    </row>
    <row r="25" spans="2:11" x14ac:dyDescent="0.25">
      <c r="B25" s="13"/>
      <c r="C25" s="13"/>
      <c r="D25" s="13" t="s">
        <v>38</v>
      </c>
      <c r="E25" s="13"/>
      <c r="F25" s="13"/>
      <c r="G25" s="14"/>
      <c r="H25" s="14"/>
      <c r="I25" s="14"/>
      <c r="J25" s="14">
        <f>+J24*E18</f>
        <v>20000</v>
      </c>
      <c r="K25" s="4"/>
    </row>
    <row r="26" spans="2:11" x14ac:dyDescent="0.25">
      <c r="B26" s="13"/>
      <c r="C26" s="13"/>
      <c r="D26" s="13" t="s">
        <v>39</v>
      </c>
      <c r="E26" s="13"/>
      <c r="F26" s="13"/>
      <c r="G26" s="14"/>
      <c r="H26" s="14"/>
      <c r="I26" s="14"/>
      <c r="J26" s="14">
        <f>+J24-J25</f>
        <v>30000</v>
      </c>
      <c r="K26" s="4"/>
    </row>
    <row r="27" spans="2:11" x14ac:dyDescent="0.25">
      <c r="B27" s="13"/>
      <c r="C27" s="13"/>
      <c r="D27" s="13" t="s">
        <v>21</v>
      </c>
      <c r="E27" s="13"/>
      <c r="F27" s="13"/>
      <c r="G27" s="14"/>
      <c r="H27" s="14"/>
      <c r="I27" s="14"/>
      <c r="J27" s="14">
        <v>100000</v>
      </c>
      <c r="K27" s="4"/>
    </row>
    <row r="28" spans="2:11" x14ac:dyDescent="0.25">
      <c r="B28" s="13"/>
      <c r="C28" s="13"/>
      <c r="D28" s="13"/>
      <c r="E28" s="13"/>
      <c r="F28" s="13"/>
      <c r="G28" s="14"/>
      <c r="H28" s="14"/>
      <c r="I28" s="14"/>
      <c r="J28" s="14">
        <f>+J27+J26</f>
        <v>130000</v>
      </c>
      <c r="K28" s="4"/>
    </row>
    <row r="29" spans="2:11" x14ac:dyDescent="0.25">
      <c r="G29" s="4"/>
      <c r="H29" s="4"/>
      <c r="I29" s="4"/>
      <c r="J29" s="4"/>
      <c r="K29" s="4"/>
    </row>
    <row r="30" spans="2:11" x14ac:dyDescent="0.25">
      <c r="B30" s="16" t="s">
        <v>40</v>
      </c>
      <c r="G30" s="4"/>
      <c r="H30" s="4"/>
      <c r="I30" s="4"/>
      <c r="J30" s="4"/>
      <c r="K30" s="4"/>
    </row>
    <row r="31" spans="2:11" x14ac:dyDescent="0.25">
      <c r="B31" t="s">
        <v>41</v>
      </c>
      <c r="F31" s="9">
        <f>+SUM(F5:F6)</f>
        <v>-1000000</v>
      </c>
      <c r="G31" s="4">
        <f>+G21</f>
        <v>500802</v>
      </c>
      <c r="H31" s="4">
        <f>+H21</f>
        <v>400320</v>
      </c>
      <c r="I31" s="4">
        <f>+I21</f>
        <v>299310</v>
      </c>
      <c r="J31" s="4">
        <f>+J21+J28</f>
        <v>100330</v>
      </c>
      <c r="K31" s="4"/>
    </row>
    <row r="32" spans="2:11" x14ac:dyDescent="0.25">
      <c r="B32" t="s">
        <v>50</v>
      </c>
      <c r="G32" s="4"/>
      <c r="H32" s="4"/>
      <c r="I32" s="4"/>
      <c r="J32" s="4"/>
      <c r="K32" s="4"/>
    </row>
    <row r="33" spans="2:11" x14ac:dyDescent="0.25">
      <c r="B33" t="s">
        <v>42</v>
      </c>
      <c r="F33" s="9">
        <f>+'AMORT LINEAL - EXPANSION'!F31</f>
        <v>-1000000</v>
      </c>
      <c r="G33" s="9">
        <f>+'AMORT LINEAL - EXPANSION'!G31</f>
        <v>472002</v>
      </c>
      <c r="H33" s="9">
        <f>+'AMORT LINEAL - EXPANSION'!H31</f>
        <v>328320</v>
      </c>
      <c r="I33" s="9">
        <f>+'AMORT LINEAL - EXPANSION'!I31</f>
        <v>335310</v>
      </c>
      <c r="J33" s="9">
        <f>+'AMORT LINEAL - EXPANSION'!J31</f>
        <v>165130</v>
      </c>
      <c r="K33" s="4"/>
    </row>
    <row r="34" spans="2:11" x14ac:dyDescent="0.25">
      <c r="G34" s="4"/>
      <c r="H34" s="4"/>
      <c r="I34" s="4"/>
      <c r="J34" s="4"/>
      <c r="K34" s="4"/>
    </row>
    <row r="35" spans="2:11" x14ac:dyDescent="0.25">
      <c r="B35" t="s">
        <v>43</v>
      </c>
      <c r="E35" s="27">
        <v>0.1</v>
      </c>
      <c r="G35" s="4"/>
      <c r="H35" s="4"/>
      <c r="I35" s="4"/>
      <c r="J35" s="4"/>
      <c r="K35" s="4"/>
    </row>
    <row r="37" spans="2:11" x14ac:dyDescent="0.25">
      <c r="E37" t="s">
        <v>48</v>
      </c>
    </row>
    <row r="38" spans="2:11" x14ac:dyDescent="0.25">
      <c r="D38" t="s">
        <v>44</v>
      </c>
      <c r="E38" s="10">
        <f>+NPV(E35,G31:J31)+F31</f>
        <v>79520.293695785571</v>
      </c>
      <c r="F38" s="10"/>
    </row>
    <row r="39" spans="2:11" x14ac:dyDescent="0.25">
      <c r="E39" s="11"/>
      <c r="F39" s="11"/>
    </row>
    <row r="40" spans="2:11" x14ac:dyDescent="0.25">
      <c r="E40" s="11"/>
      <c r="F40" s="11"/>
    </row>
    <row r="41" spans="2:11" x14ac:dyDescent="0.25">
      <c r="B41" t="s">
        <v>89</v>
      </c>
      <c r="E41" s="12"/>
      <c r="F41" s="12"/>
    </row>
    <row r="42" spans="2:11" x14ac:dyDescent="0.25">
      <c r="F42" t="s">
        <v>90</v>
      </c>
    </row>
    <row r="43" spans="2:11" x14ac:dyDescent="0.25">
      <c r="B43" t="s">
        <v>86</v>
      </c>
      <c r="E43" s="28">
        <v>-4974508.7882487532</v>
      </c>
      <c r="F43" s="5">
        <v>0.25</v>
      </c>
      <c r="G43" s="28">
        <f>+F43*(E43-$E$47)^2</f>
        <v>7888722682745.0537</v>
      </c>
    </row>
    <row r="44" spans="2:11" x14ac:dyDescent="0.25">
      <c r="B44" t="s">
        <v>87</v>
      </c>
      <c r="E44" s="28">
        <v>79520.293695785571</v>
      </c>
      <c r="F44" s="5">
        <v>0.5</v>
      </c>
      <c r="G44" s="28">
        <f t="shared" ref="G44:G45" si="7">+F44*(E44-$E$47)^2</f>
        <v>158678752115.41425</v>
      </c>
    </row>
    <row r="45" spans="2:11" x14ac:dyDescent="0.25">
      <c r="B45" t="s">
        <v>88</v>
      </c>
      <c r="E45" s="28">
        <v>7386929.0746021429</v>
      </c>
      <c r="F45" s="5">
        <v>0.25</v>
      </c>
      <c r="G45" s="28">
        <f t="shared" si="7"/>
        <v>11370599324010.826</v>
      </c>
    </row>
    <row r="46" spans="2:11" x14ac:dyDescent="0.25">
      <c r="E46" s="28"/>
    </row>
    <row r="47" spans="2:11" x14ac:dyDescent="0.25">
      <c r="B47" t="s">
        <v>91</v>
      </c>
      <c r="E47" s="28">
        <f>+SUMPRODUCT(E43:E45,F43:F45)</f>
        <v>642865.21843624022</v>
      </c>
      <c r="G47" s="28">
        <f>+SUM(G43:G45)^0.5</f>
        <v>4406586.066204913</v>
      </c>
      <c r="H47" t="s">
        <v>92</v>
      </c>
    </row>
    <row r="48" spans="2:11" x14ac:dyDescent="0.25">
      <c r="E48" s="10"/>
      <c r="G48" s="10">
        <f>+G47/E47</f>
        <v>6.8546033287099677</v>
      </c>
      <c r="H48" t="s">
        <v>93</v>
      </c>
    </row>
    <row r="50" spans="2:7" x14ac:dyDescent="0.25">
      <c r="B50" t="s">
        <v>94</v>
      </c>
      <c r="G50" s="10"/>
    </row>
    <row r="51" spans="2:7" x14ac:dyDescent="0.25">
      <c r="B51" t="s">
        <v>95</v>
      </c>
    </row>
    <row r="53" spans="2:7" x14ac:dyDescent="0.25">
      <c r="B53" t="s">
        <v>96</v>
      </c>
    </row>
    <row r="54" spans="2:7" x14ac:dyDescent="0.25">
      <c r="C54" t="s">
        <v>97</v>
      </c>
    </row>
    <row r="55" spans="2:7" x14ac:dyDescent="0.25">
      <c r="C55" t="s">
        <v>98</v>
      </c>
    </row>
    <row r="57" spans="2:7" x14ac:dyDescent="0.25">
      <c r="B57" t="s">
        <v>99</v>
      </c>
    </row>
    <row r="66" spans="3:4" x14ac:dyDescent="0.25">
      <c r="C66" t="s">
        <v>115</v>
      </c>
    </row>
    <row r="67" spans="3:4" x14ac:dyDescent="0.25">
      <c r="C67">
        <v>0.7</v>
      </c>
      <c r="D67" s="5">
        <v>7.0000000000000007E-2</v>
      </c>
    </row>
    <row r="68" spans="3:4" x14ac:dyDescent="0.25">
      <c r="C68">
        <v>0.75</v>
      </c>
      <c r="D68" s="5">
        <v>7.0000000000000007E-2</v>
      </c>
    </row>
    <row r="69" spans="3:4" x14ac:dyDescent="0.25">
      <c r="C69">
        <v>0.8</v>
      </c>
      <c r="D69" s="5">
        <v>7.0000000000000007E-2</v>
      </c>
    </row>
    <row r="70" spans="3:4" x14ac:dyDescent="0.25">
      <c r="C70">
        <v>0.85</v>
      </c>
      <c r="D70" s="5">
        <v>7.0000000000000007E-2</v>
      </c>
    </row>
    <row r="71" spans="3:4" x14ac:dyDescent="0.25">
      <c r="C71">
        <v>0.9</v>
      </c>
      <c r="D71" s="5">
        <v>0.09</v>
      </c>
    </row>
    <row r="72" spans="3:4" x14ac:dyDescent="0.25">
      <c r="C72">
        <v>1</v>
      </c>
      <c r="D72" s="5">
        <v>0.3</v>
      </c>
    </row>
    <row r="73" spans="3:4" x14ac:dyDescent="0.25">
      <c r="C73">
        <v>1.05</v>
      </c>
      <c r="D73" s="5">
        <v>0.09</v>
      </c>
    </row>
    <row r="74" spans="3:4" x14ac:dyDescent="0.25">
      <c r="C74">
        <v>1.1000000000000001</v>
      </c>
      <c r="D74" s="5">
        <v>0.08</v>
      </c>
    </row>
    <row r="75" spans="3:4" x14ac:dyDescent="0.25">
      <c r="C75">
        <v>1.1299999999999999</v>
      </c>
      <c r="D75" s="5">
        <v>0.08</v>
      </c>
    </row>
    <row r="76" spans="3:4" x14ac:dyDescent="0.25">
      <c r="C76">
        <v>1.2</v>
      </c>
      <c r="D76" s="5">
        <v>0.08</v>
      </c>
    </row>
    <row r="77" spans="3:4" x14ac:dyDescent="0.25">
      <c r="D77" s="5"/>
    </row>
    <row r="78" spans="3:4" x14ac:dyDescent="0.25">
      <c r="C78" t="s">
        <v>116</v>
      </c>
    </row>
    <row r="80" spans="3:4" x14ac:dyDescent="0.25">
      <c r="C80">
        <v>0.6</v>
      </c>
      <c r="D80" s="5">
        <v>0.01</v>
      </c>
    </row>
    <row r="81" spans="3:4" x14ac:dyDescent="0.25">
      <c r="C81">
        <v>0.7</v>
      </c>
      <c r="D81" s="5">
        <v>0.01</v>
      </c>
    </row>
    <row r="82" spans="3:4" x14ac:dyDescent="0.25">
      <c r="C82">
        <v>0.8</v>
      </c>
      <c r="D82" s="5">
        <v>0.03</v>
      </c>
    </row>
    <row r="83" spans="3:4" x14ac:dyDescent="0.25">
      <c r="C83">
        <v>0.85</v>
      </c>
      <c r="D83" s="5">
        <v>0.1</v>
      </c>
    </row>
    <row r="84" spans="3:4" x14ac:dyDescent="0.25">
      <c r="C84">
        <v>0.9</v>
      </c>
      <c r="D84" s="5">
        <v>0.2</v>
      </c>
    </row>
    <row r="85" spans="3:4" x14ac:dyDescent="0.25">
      <c r="C85">
        <v>1</v>
      </c>
      <c r="D85" s="5">
        <v>0.3</v>
      </c>
    </row>
    <row r="86" spans="3:4" x14ac:dyDescent="0.25">
      <c r="C86">
        <v>1.1000000000000001</v>
      </c>
      <c r="D86" s="5">
        <v>0.2</v>
      </c>
    </row>
    <row r="87" spans="3:4" x14ac:dyDescent="0.25">
      <c r="C87">
        <v>1.2</v>
      </c>
      <c r="D87" s="5">
        <v>0.1</v>
      </c>
    </row>
    <row r="88" spans="3:4" x14ac:dyDescent="0.25">
      <c r="C88">
        <v>1.3</v>
      </c>
      <c r="D88" s="5">
        <v>2.5000000000000001E-2</v>
      </c>
    </row>
    <row r="89" spans="3:4" x14ac:dyDescent="0.25">
      <c r="C89">
        <v>1.4</v>
      </c>
      <c r="D89" s="5">
        <v>2.5000000000000001E-2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17A1-40DA-4537-AA26-FD811FE80731}">
  <dimension ref="B2:AV63"/>
  <sheetViews>
    <sheetView tabSelected="1" workbookViewId="0"/>
  </sheetViews>
  <sheetFormatPr baseColWidth="10" defaultRowHeight="15" x14ac:dyDescent="0.25"/>
  <cols>
    <col min="4" max="4" width="12" bestFit="1" customWidth="1"/>
    <col min="5" max="5" width="11.5703125" bestFit="1" customWidth="1"/>
    <col min="6" max="10" width="12" bestFit="1" customWidth="1"/>
  </cols>
  <sheetData>
    <row r="2" spans="2:10" x14ac:dyDescent="0.25">
      <c r="B2" t="s">
        <v>102</v>
      </c>
      <c r="C2" s="5">
        <v>0.12</v>
      </c>
    </row>
    <row r="3" spans="2:10" x14ac:dyDescent="0.25"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5" spans="2:10" x14ac:dyDescent="0.25">
      <c r="B5" t="s">
        <v>100</v>
      </c>
      <c r="D5" s="4">
        <v>-40000</v>
      </c>
      <c r="E5" s="4">
        <v>8000</v>
      </c>
      <c r="F5" s="4">
        <v>14000</v>
      </c>
      <c r="G5" s="4">
        <v>13000</v>
      </c>
      <c r="H5" s="4">
        <v>12000</v>
      </c>
      <c r="I5" s="4">
        <v>11000</v>
      </c>
      <c r="J5" s="4">
        <v>10000</v>
      </c>
    </row>
    <row r="6" spans="2:10" x14ac:dyDescent="0.25">
      <c r="B6" t="s">
        <v>44</v>
      </c>
      <c r="C6" s="9">
        <f>+D5+NPV(C2,E5:J5)</f>
        <v>6490.9382156815409</v>
      </c>
    </row>
    <row r="7" spans="2:10" x14ac:dyDescent="0.25">
      <c r="B7" t="s">
        <v>103</v>
      </c>
      <c r="C7" s="11">
        <f>+IRR(D5:J5,0.1)</f>
        <v>0.17470812071516617</v>
      </c>
    </row>
    <row r="9" spans="2:10" x14ac:dyDescent="0.25">
      <c r="B9" t="s">
        <v>101</v>
      </c>
      <c r="D9" s="4">
        <v>-20000</v>
      </c>
      <c r="E9" s="4">
        <v>7000</v>
      </c>
      <c r="F9" s="4">
        <v>13000</v>
      </c>
      <c r="G9" s="4">
        <v>12000</v>
      </c>
      <c r="H9" s="4"/>
      <c r="I9" s="4"/>
      <c r="J9" s="4"/>
    </row>
    <row r="10" spans="2:10" x14ac:dyDescent="0.25">
      <c r="B10" t="s">
        <v>44</v>
      </c>
      <c r="C10" s="9">
        <f>+D9+NPV(C2,E9:G9)</f>
        <v>5154.8833819241918</v>
      </c>
    </row>
    <row r="11" spans="2:10" x14ac:dyDescent="0.25">
      <c r="B11" t="s">
        <v>103</v>
      </c>
      <c r="C11" s="11">
        <f>+IRR(D9:J9,0.1)</f>
        <v>0.25197210090476752</v>
      </c>
    </row>
    <row r="13" spans="2:10" x14ac:dyDescent="0.25">
      <c r="B13" t="s">
        <v>104</v>
      </c>
    </row>
    <row r="15" spans="2:10" x14ac:dyDescent="0.25">
      <c r="B15" t="s">
        <v>101</v>
      </c>
      <c r="D15" s="4">
        <v>-20000</v>
      </c>
      <c r="E15" s="4">
        <v>7000</v>
      </c>
      <c r="F15" s="4">
        <v>13000</v>
      </c>
      <c r="G15" s="4">
        <v>12000</v>
      </c>
    </row>
    <row r="16" spans="2:10" x14ac:dyDescent="0.25">
      <c r="G16" s="4">
        <v>-20000</v>
      </c>
      <c r="H16" s="4">
        <v>7000</v>
      </c>
      <c r="I16" s="4">
        <v>13000</v>
      </c>
      <c r="J16" s="4">
        <v>12000</v>
      </c>
    </row>
    <row r="17" spans="2:48" x14ac:dyDescent="0.25">
      <c r="D17" s="9">
        <f>+SUM(D15:D16)</f>
        <v>-20000</v>
      </c>
      <c r="E17" s="9">
        <f t="shared" ref="E17:J17" si="0">+SUM(E15:E16)</f>
        <v>7000</v>
      </c>
      <c r="F17" s="9">
        <f t="shared" si="0"/>
        <v>13000</v>
      </c>
      <c r="G17" s="9">
        <f t="shared" si="0"/>
        <v>-8000</v>
      </c>
      <c r="H17" s="9">
        <f t="shared" si="0"/>
        <v>7000</v>
      </c>
      <c r="I17" s="9">
        <f t="shared" si="0"/>
        <v>13000</v>
      </c>
      <c r="J17" s="9">
        <f t="shared" si="0"/>
        <v>12000</v>
      </c>
    </row>
    <row r="18" spans="2:48" x14ac:dyDescent="0.25">
      <c r="B18" t="s">
        <v>44</v>
      </c>
      <c r="C18" s="9">
        <f>+D17+NPV(C2,E17:J17)</f>
        <v>8824.0275529594255</v>
      </c>
    </row>
    <row r="19" spans="2:48" x14ac:dyDescent="0.25">
      <c r="B19" t="s">
        <v>103</v>
      </c>
      <c r="C19" s="11">
        <f>+IRR(D17:J17,0.1)</f>
        <v>0.25197210090478905</v>
      </c>
      <c r="D19" t="s">
        <v>105</v>
      </c>
    </row>
    <row r="21" spans="2:48" x14ac:dyDescent="0.25">
      <c r="B21" t="s">
        <v>106</v>
      </c>
    </row>
    <row r="23" spans="2:48" x14ac:dyDescent="0.25">
      <c r="D23" t="s">
        <v>100</v>
      </c>
      <c r="F23" t="s">
        <v>101</v>
      </c>
    </row>
    <row r="25" spans="2:48" x14ac:dyDescent="0.25">
      <c r="C25" t="s">
        <v>107</v>
      </c>
      <c r="D25" s="9">
        <f>-C6</f>
        <v>-6490.9382156815409</v>
      </c>
      <c r="F25" s="9">
        <f>-C10</f>
        <v>-5154.8833819241918</v>
      </c>
    </row>
    <row r="26" spans="2:48" x14ac:dyDescent="0.25">
      <c r="C26" t="s">
        <v>108</v>
      </c>
      <c r="D26">
        <v>6</v>
      </c>
      <c r="F26">
        <v>3</v>
      </c>
    </row>
    <row r="27" spans="2:48" x14ac:dyDescent="0.25">
      <c r="C27" t="s">
        <v>102</v>
      </c>
      <c r="D27" s="5">
        <v>0.12</v>
      </c>
      <c r="F27" s="5">
        <f>+D27</f>
        <v>0.12</v>
      </c>
    </row>
    <row r="28" spans="2:48" x14ac:dyDescent="0.25">
      <c r="C28" t="s">
        <v>109</v>
      </c>
      <c r="D28">
        <v>0</v>
      </c>
      <c r="F28">
        <v>0</v>
      </c>
    </row>
    <row r="29" spans="2:48" x14ac:dyDescent="0.25">
      <c r="C29" t="s">
        <v>110</v>
      </c>
      <c r="D29" s="10">
        <f>+PMT(D27,D26,D25,D28,0)</f>
        <v>1578.7631107590241</v>
      </c>
      <c r="F29" s="10">
        <f>+PMT(F27,F26,F25,F28,0)</f>
        <v>2146.2304409672802</v>
      </c>
    </row>
    <row r="31" spans="2:48" x14ac:dyDescent="0.25"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3" spans="2:10" x14ac:dyDescent="0.25">
      <c r="B33" t="s">
        <v>102</v>
      </c>
      <c r="C33" s="5">
        <v>0.1</v>
      </c>
    </row>
    <row r="34" spans="2:10" x14ac:dyDescent="0.25">
      <c r="D34">
        <v>0</v>
      </c>
      <c r="E34">
        <v>1</v>
      </c>
      <c r="F34">
        <v>2</v>
      </c>
      <c r="G34">
        <v>3</v>
      </c>
      <c r="H34">
        <v>4</v>
      </c>
    </row>
    <row r="36" spans="2:10" x14ac:dyDescent="0.25">
      <c r="B36" t="s">
        <v>111</v>
      </c>
      <c r="D36" s="4">
        <v>-2000</v>
      </c>
      <c r="E36" s="4">
        <v>1500</v>
      </c>
      <c r="F36" s="4">
        <v>1500</v>
      </c>
      <c r="G36" s="4">
        <v>1500</v>
      </c>
      <c r="H36" s="4">
        <v>1500</v>
      </c>
      <c r="I36" s="4"/>
      <c r="J36" s="4"/>
    </row>
    <row r="37" spans="2:10" x14ac:dyDescent="0.25">
      <c r="B37" t="s">
        <v>44</v>
      </c>
      <c r="C37" s="9">
        <f>+D36+NPV(C33,E36:J36)</f>
        <v>2754.7981695239378</v>
      </c>
    </row>
    <row r="38" spans="2:10" x14ac:dyDescent="0.25">
      <c r="B38" t="s">
        <v>103</v>
      </c>
      <c r="C38" s="11">
        <f>+IRR(D36:J36,0.1)</f>
        <v>0.64842572545114474</v>
      </c>
    </row>
    <row r="41" spans="2:10" x14ac:dyDescent="0.25">
      <c r="B41" t="s">
        <v>102</v>
      </c>
      <c r="C41" s="5">
        <v>0.1</v>
      </c>
    </row>
    <row r="42" spans="2:10" x14ac:dyDescent="0.25">
      <c r="D42">
        <v>0</v>
      </c>
      <c r="E42">
        <v>1</v>
      </c>
      <c r="F42">
        <v>2</v>
      </c>
    </row>
    <row r="44" spans="2:10" x14ac:dyDescent="0.25">
      <c r="B44" t="s">
        <v>112</v>
      </c>
      <c r="D44" s="4">
        <v>-1500</v>
      </c>
      <c r="E44" s="4">
        <v>1750</v>
      </c>
      <c r="F44" s="4">
        <v>1750</v>
      </c>
      <c r="G44" s="4"/>
      <c r="H44" s="4"/>
      <c r="I44" s="4"/>
      <c r="J44" s="4"/>
    </row>
    <row r="45" spans="2:10" x14ac:dyDescent="0.25">
      <c r="B45" t="s">
        <v>44</v>
      </c>
      <c r="C45" s="9">
        <f>+D44+NPV(C41,E44:J44)</f>
        <v>1537.1900826446281</v>
      </c>
    </row>
    <row r="46" spans="2:10" x14ac:dyDescent="0.25">
      <c r="B46" t="s">
        <v>103</v>
      </c>
      <c r="C46" s="11">
        <f>+IRR(D44:J44,0.1)</f>
        <v>0.81090998855468621</v>
      </c>
    </row>
    <row r="49" spans="2:8" x14ac:dyDescent="0.25">
      <c r="B49" t="s">
        <v>102</v>
      </c>
      <c r="C49" s="5">
        <v>0.1</v>
      </c>
    </row>
    <row r="50" spans="2:8" x14ac:dyDescent="0.25">
      <c r="D50">
        <v>0</v>
      </c>
      <c r="E50">
        <v>1</v>
      </c>
      <c r="F50">
        <v>2</v>
      </c>
      <c r="G50">
        <v>3</v>
      </c>
      <c r="H50">
        <v>4</v>
      </c>
    </row>
    <row r="52" spans="2:8" x14ac:dyDescent="0.25">
      <c r="B52" t="s">
        <v>113</v>
      </c>
      <c r="D52" s="4">
        <v>-1500</v>
      </c>
      <c r="E52" s="4">
        <v>1750</v>
      </c>
      <c r="F52" s="4">
        <v>250</v>
      </c>
      <c r="G52" s="4">
        <v>1750</v>
      </c>
      <c r="H52" s="4">
        <v>1750</v>
      </c>
    </row>
    <row r="53" spans="2:8" x14ac:dyDescent="0.25">
      <c r="B53" t="s">
        <v>44</v>
      </c>
      <c r="C53" s="9">
        <f>+D52+NPV(C49,E52:J52)</f>
        <v>2807.5951096236586</v>
      </c>
    </row>
    <row r="54" spans="2:8" x14ac:dyDescent="0.25">
      <c r="B54" t="s">
        <v>103</v>
      </c>
      <c r="C54" s="11">
        <f>+IRR(D52:J52,0.1)</f>
        <v>0.81090998855466512</v>
      </c>
    </row>
    <row r="56" spans="2:8" x14ac:dyDescent="0.25">
      <c r="B56" t="s">
        <v>114</v>
      </c>
    </row>
    <row r="57" spans="2:8" x14ac:dyDescent="0.25">
      <c r="E57" t="s">
        <v>111</v>
      </c>
      <c r="G57" t="s">
        <v>112</v>
      </c>
    </row>
    <row r="59" spans="2:8" x14ac:dyDescent="0.25">
      <c r="D59" t="s">
        <v>107</v>
      </c>
      <c r="E59" s="9">
        <f>-C37</f>
        <v>-2754.7981695239378</v>
      </c>
      <c r="G59" s="9">
        <f>-C45</f>
        <v>-1537.1900826446281</v>
      </c>
    </row>
    <row r="60" spans="2:8" x14ac:dyDescent="0.25">
      <c r="D60" t="s">
        <v>108</v>
      </c>
      <c r="E60">
        <v>4</v>
      </c>
      <c r="G60">
        <v>2</v>
      </c>
    </row>
    <row r="61" spans="2:8" x14ac:dyDescent="0.25">
      <c r="D61" t="s">
        <v>102</v>
      </c>
      <c r="E61" s="5">
        <v>0.1</v>
      </c>
      <c r="G61" s="5">
        <v>0.1</v>
      </c>
    </row>
    <row r="62" spans="2:8" x14ac:dyDescent="0.25">
      <c r="D62" t="s">
        <v>109</v>
      </c>
      <c r="E62">
        <v>0</v>
      </c>
      <c r="G62">
        <v>0</v>
      </c>
    </row>
    <row r="63" spans="2:8" x14ac:dyDescent="0.25">
      <c r="D63" t="s">
        <v>110</v>
      </c>
      <c r="E63" s="10">
        <f>+PMT(E61,E60,E59,E62,0)</f>
        <v>869.05839258780384</v>
      </c>
      <c r="G63" s="10">
        <f>+PMT(G61,G60,G59,G62,0)</f>
        <v>885.71428571428589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83311-DF4D-4097-8D62-B44C74824028}"/>
</file>

<file path=customXml/itemProps2.xml><?xml version="1.0" encoding="utf-8"?>
<ds:datastoreItem xmlns:ds="http://schemas.openxmlformats.org/officeDocument/2006/customXml" ds:itemID="{661C4FCD-C37E-4F51-BE41-4459E2ED15C2}"/>
</file>

<file path=customXml/itemProps3.xml><?xml version="1.0" encoding="utf-8"?>
<ds:datastoreItem xmlns:ds="http://schemas.openxmlformats.org/officeDocument/2006/customXml" ds:itemID="{5DA23843-7D37-46B9-B03D-CDE1688E8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PROY EXPANSION</vt:lpstr>
      <vt:lpstr>PROYECTO DE EXPANSION - CALCULO</vt:lpstr>
      <vt:lpstr>AMORT LINEAL - EXPANSION</vt:lpstr>
      <vt:lpstr>DATOS - ANÁLISIS DE REEMPLAZO</vt:lpstr>
      <vt:lpstr>PROY. DE REEMPLAZO - CALCULO</vt:lpstr>
      <vt:lpstr>SENSIBILIDAD RIESGO "S"</vt:lpstr>
      <vt:lpstr>CADENAS DE REEMPLAZO Y EAA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GRINBLAT GUSTAVO GABRIEL</cp:lastModifiedBy>
  <dcterms:created xsi:type="dcterms:W3CDTF">2015-06-05T18:19:34Z</dcterms:created>
  <dcterms:modified xsi:type="dcterms:W3CDTF">2024-05-09T21:43:54Z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