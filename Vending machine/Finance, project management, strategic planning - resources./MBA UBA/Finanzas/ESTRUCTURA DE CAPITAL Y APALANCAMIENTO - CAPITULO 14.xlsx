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olors4.xml" ContentType="application/vnd.ms-office.chartcolorstyle+xml"/>
  <Override PartName="/xl/charts/style5.xml" ContentType="application/vnd.ms-office.chartstyle+xml"/>
  <Override PartName="/xl/charts/chart5.xml" ContentType="application/vnd.openxmlformats-officedocument.drawingml.char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3A4EDD3B-2DF2-4B70-BC8B-804B418AEB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9" i="1" l="1"/>
  <c r="D134" i="1"/>
  <c r="I60" i="1"/>
  <c r="F61" i="1"/>
  <c r="G35" i="1"/>
  <c r="O181" i="1"/>
  <c r="O180" i="1"/>
  <c r="O179" i="1"/>
  <c r="O178" i="1"/>
  <c r="O177" i="1"/>
  <c r="O176" i="1"/>
  <c r="O175" i="1"/>
  <c r="M176" i="1"/>
  <c r="M177" i="1"/>
  <c r="M178" i="1"/>
  <c r="M179" i="1"/>
  <c r="M180" i="1"/>
  <c r="M181" i="1"/>
  <c r="M175" i="1"/>
  <c r="J176" i="1"/>
  <c r="J177" i="1"/>
  <c r="J178" i="1"/>
  <c r="J179" i="1"/>
  <c r="J180" i="1"/>
  <c r="J181" i="1"/>
  <c r="J175" i="1"/>
  <c r="I176" i="1"/>
  <c r="I177" i="1"/>
  <c r="I178" i="1"/>
  <c r="I179" i="1"/>
  <c r="I180" i="1"/>
  <c r="I181" i="1"/>
  <c r="I175" i="1"/>
  <c r="H176" i="1"/>
  <c r="H177" i="1"/>
  <c r="H178" i="1"/>
  <c r="H180" i="1"/>
  <c r="H181" i="1"/>
  <c r="H175" i="1"/>
  <c r="G176" i="1"/>
  <c r="G177" i="1"/>
  <c r="G178" i="1"/>
  <c r="G179" i="1"/>
  <c r="G180" i="1"/>
  <c r="G181" i="1"/>
  <c r="G175" i="1"/>
  <c r="F175" i="1"/>
  <c r="E176" i="1"/>
  <c r="E177" i="1"/>
  <c r="E178" i="1"/>
  <c r="E179" i="1"/>
  <c r="E180" i="1"/>
  <c r="E181" i="1"/>
  <c r="E175" i="1"/>
  <c r="C176" i="1"/>
  <c r="F176" i="1" s="1"/>
  <c r="C177" i="1"/>
  <c r="F177" i="1" s="1"/>
  <c r="C175" i="1"/>
  <c r="B176" i="1"/>
  <c r="B177" i="1" s="1"/>
  <c r="B178" i="1" s="1"/>
  <c r="B179" i="1" s="1"/>
  <c r="B180" i="1" s="1"/>
  <c r="B181" i="1" s="1"/>
  <c r="C181" i="1" s="1"/>
  <c r="F181" i="1" s="1"/>
  <c r="F151" i="1"/>
  <c r="F150" i="1"/>
  <c r="F149" i="1"/>
  <c r="F148" i="1"/>
  <c r="F147" i="1"/>
  <c r="F146" i="1"/>
  <c r="F145" i="1"/>
  <c r="E146" i="1"/>
  <c r="E147" i="1"/>
  <c r="E148" i="1"/>
  <c r="E149" i="1"/>
  <c r="E150" i="1"/>
  <c r="E151" i="1"/>
  <c r="E145" i="1"/>
  <c r="B147" i="1"/>
  <c r="B148" i="1" s="1"/>
  <c r="B149" i="1" s="1"/>
  <c r="B150" i="1" s="1"/>
  <c r="B151" i="1" s="1"/>
  <c r="C138" i="1"/>
  <c r="C137" i="1"/>
  <c r="C136" i="1"/>
  <c r="C135" i="1"/>
  <c r="C134" i="1"/>
  <c r="J129" i="1"/>
  <c r="J128" i="1"/>
  <c r="J127" i="1"/>
  <c r="J126" i="1"/>
  <c r="J125" i="1"/>
  <c r="J124" i="1"/>
  <c r="F101" i="1"/>
  <c r="F124" i="1" s="1"/>
  <c r="F105" i="1"/>
  <c r="F128" i="1" s="1"/>
  <c r="F104" i="1"/>
  <c r="F127" i="1" s="1"/>
  <c r="F103" i="1"/>
  <c r="F126" i="1" s="1"/>
  <c r="F102" i="1"/>
  <c r="F125" i="1" s="1"/>
  <c r="D106" i="1"/>
  <c r="E105" i="1"/>
  <c r="E128" i="1" s="1"/>
  <c r="E104" i="1"/>
  <c r="E127" i="1" s="1"/>
  <c r="E103" i="1"/>
  <c r="E126" i="1" s="1"/>
  <c r="E102" i="1"/>
  <c r="E125" i="1" s="1"/>
  <c r="E101" i="1"/>
  <c r="E124" i="1" s="1"/>
  <c r="D76" i="1"/>
  <c r="B77" i="1"/>
  <c r="D77" i="1" s="1"/>
  <c r="J70" i="1"/>
  <c r="K69" i="1" s="1"/>
  <c r="F70" i="1"/>
  <c r="G69" i="1" s="1"/>
  <c r="J64" i="1"/>
  <c r="J63" i="1"/>
  <c r="J62" i="1"/>
  <c r="J61" i="1"/>
  <c r="J60" i="1"/>
  <c r="F60" i="1"/>
  <c r="F64" i="1"/>
  <c r="F63" i="1"/>
  <c r="F62" i="1"/>
  <c r="E64" i="1"/>
  <c r="E63" i="1"/>
  <c r="E62" i="1"/>
  <c r="E61" i="1"/>
  <c r="E60" i="1"/>
  <c r="K60" i="1" s="1"/>
  <c r="L60" i="1" s="1"/>
  <c r="M60" i="1" s="1"/>
  <c r="D65" i="1"/>
  <c r="G34" i="1"/>
  <c r="G33" i="1"/>
  <c r="J10" i="1"/>
  <c r="J9" i="1"/>
  <c r="O8" i="1"/>
  <c r="F23" i="1" s="1"/>
  <c r="L7" i="1"/>
  <c r="J7" i="1"/>
  <c r="L5" i="1"/>
  <c r="J5" i="1"/>
  <c r="G11" i="1"/>
  <c r="J11" i="1" s="1"/>
  <c r="G6" i="1"/>
  <c r="G8" i="1" s="1"/>
  <c r="C6" i="1"/>
  <c r="G125" i="1" l="1"/>
  <c r="H125" i="1" s="1"/>
  <c r="I125" i="1" s="1"/>
  <c r="K64" i="1"/>
  <c r="L64" i="1" s="1"/>
  <c r="M64" i="1" s="1"/>
  <c r="C180" i="1"/>
  <c r="F180" i="1" s="1"/>
  <c r="C179" i="1"/>
  <c r="F179" i="1" s="1"/>
  <c r="C178" i="1"/>
  <c r="F178" i="1" s="1"/>
  <c r="G104" i="1"/>
  <c r="K104" i="1" s="1"/>
  <c r="L104" i="1" s="1"/>
  <c r="D137" i="1" s="1"/>
  <c r="G105" i="1"/>
  <c r="K105" i="1" s="1"/>
  <c r="L105" i="1" s="1"/>
  <c r="D138" i="1" s="1"/>
  <c r="G63" i="1"/>
  <c r="H63" i="1" s="1"/>
  <c r="I63" i="1" s="1"/>
  <c r="G103" i="1"/>
  <c r="K103" i="1" s="1"/>
  <c r="M103" i="1" s="1"/>
  <c r="G64" i="1"/>
  <c r="H64" i="1" s="1"/>
  <c r="I64" i="1" s="1"/>
  <c r="G60" i="1"/>
  <c r="H60" i="1" s="1"/>
  <c r="K61" i="1"/>
  <c r="K62" i="1"/>
  <c r="L62" i="1" s="1"/>
  <c r="M62" i="1" s="1"/>
  <c r="K63" i="1"/>
  <c r="L63" i="1" s="1"/>
  <c r="M63" i="1" s="1"/>
  <c r="G124" i="1"/>
  <c r="K124" i="1" s="1"/>
  <c r="L124" i="1" s="1"/>
  <c r="L103" i="1"/>
  <c r="D136" i="1" s="1"/>
  <c r="G128" i="1"/>
  <c r="H128" i="1" s="1"/>
  <c r="I128" i="1" s="1"/>
  <c r="E106" i="1"/>
  <c r="F65" i="1"/>
  <c r="G62" i="1"/>
  <c r="H62" i="1" s="1"/>
  <c r="I62" i="1" s="1"/>
  <c r="G102" i="1"/>
  <c r="K102" i="1" s="1"/>
  <c r="G126" i="1"/>
  <c r="H126" i="1" s="1"/>
  <c r="I126" i="1" s="1"/>
  <c r="G127" i="1"/>
  <c r="H127" i="1" s="1"/>
  <c r="I127" i="1" s="1"/>
  <c r="K125" i="1"/>
  <c r="B78" i="1"/>
  <c r="H104" i="1"/>
  <c r="I104" i="1" s="1"/>
  <c r="E65" i="1"/>
  <c r="G101" i="1"/>
  <c r="K101" i="1" s="1"/>
  <c r="F106" i="1"/>
  <c r="G61" i="1"/>
  <c r="J65" i="1"/>
  <c r="J8" i="1"/>
  <c r="L8" i="1"/>
  <c r="L13" i="1" s="1"/>
  <c r="G13" i="1"/>
  <c r="M105" i="1" l="1"/>
  <c r="M104" i="1"/>
  <c r="K65" i="1"/>
  <c r="R61" i="1" s="1"/>
  <c r="H103" i="1"/>
  <c r="I103" i="1" s="1"/>
  <c r="H105" i="1"/>
  <c r="I105" i="1" s="1"/>
  <c r="L61" i="1"/>
  <c r="M61" i="1" s="1"/>
  <c r="H124" i="1"/>
  <c r="I124" i="1" s="1"/>
  <c r="I129" i="1" s="1"/>
  <c r="G129" i="1"/>
  <c r="K128" i="1"/>
  <c r="L128" i="1" s="1"/>
  <c r="E138" i="1" s="1"/>
  <c r="E134" i="1"/>
  <c r="K127" i="1"/>
  <c r="M127" i="1" s="1"/>
  <c r="M102" i="1"/>
  <c r="L102" i="1"/>
  <c r="D135" i="1" s="1"/>
  <c r="H102" i="1"/>
  <c r="I102" i="1" s="1"/>
  <c r="G106" i="1"/>
  <c r="K126" i="1"/>
  <c r="L126" i="1" s="1"/>
  <c r="E136" i="1" s="1"/>
  <c r="H101" i="1"/>
  <c r="I101" i="1" s="1"/>
  <c r="K106" i="1"/>
  <c r="M101" i="1"/>
  <c r="L101" i="1"/>
  <c r="M124" i="1"/>
  <c r="H129" i="1"/>
  <c r="L125" i="1"/>
  <c r="E135" i="1" s="1"/>
  <c r="M125" i="1"/>
  <c r="B79" i="1"/>
  <c r="D78" i="1"/>
  <c r="O61" i="1"/>
  <c r="O64" i="1"/>
  <c r="O60" i="1"/>
  <c r="O63" i="1"/>
  <c r="O62" i="1"/>
  <c r="G65" i="1"/>
  <c r="H61" i="1"/>
  <c r="R64" i="1"/>
  <c r="R63" i="1"/>
  <c r="R62" i="1"/>
  <c r="R60" i="1"/>
  <c r="J13" i="1"/>
  <c r="K11" i="1" s="1"/>
  <c r="H5" i="1"/>
  <c r="H6" i="1"/>
  <c r="H7" i="1"/>
  <c r="H3" i="1"/>
  <c r="H4" i="1"/>
  <c r="H9" i="1"/>
  <c r="H10" i="1"/>
  <c r="M11" i="1"/>
  <c r="M13" i="1"/>
  <c r="M8" i="1"/>
  <c r="H11" i="1"/>
  <c r="H8" i="1"/>
  <c r="L65" i="1" l="1"/>
  <c r="L127" i="1"/>
  <c r="E137" i="1" s="1"/>
  <c r="I106" i="1"/>
  <c r="M128" i="1"/>
  <c r="H106" i="1"/>
  <c r="K129" i="1"/>
  <c r="M126" i="1"/>
  <c r="M106" i="1"/>
  <c r="L106" i="1"/>
  <c r="O102" i="1" s="1"/>
  <c r="E66" i="1"/>
  <c r="E67" i="1" s="1"/>
  <c r="P102" i="1"/>
  <c r="M129" i="1"/>
  <c r="P125" i="1" s="1"/>
  <c r="L129" i="1"/>
  <c r="K13" i="1"/>
  <c r="K5" i="1"/>
  <c r="B80" i="1"/>
  <c r="D79" i="1"/>
  <c r="K66" i="1"/>
  <c r="K67" i="1" s="1"/>
  <c r="M65" i="1"/>
  <c r="S61" i="1" s="1"/>
  <c r="I61" i="1"/>
  <c r="H65" i="1"/>
  <c r="P62" i="1"/>
  <c r="P60" i="1"/>
  <c r="P64" i="1"/>
  <c r="P61" i="1"/>
  <c r="P63" i="1"/>
  <c r="F22" i="1"/>
  <c r="K7" i="1"/>
  <c r="K8" i="1"/>
  <c r="F21" i="1" s="1"/>
  <c r="O128" i="1" l="1"/>
  <c r="O124" i="1"/>
  <c r="P105" i="1"/>
  <c r="P104" i="1"/>
  <c r="P103" i="1"/>
  <c r="O104" i="1"/>
  <c r="O105" i="1"/>
  <c r="O103" i="1"/>
  <c r="O101" i="1"/>
  <c r="P101" i="1"/>
  <c r="M107" i="1" s="1"/>
  <c r="M108" i="1" s="1"/>
  <c r="P127" i="1"/>
  <c r="P126" i="1"/>
  <c r="P128" i="1"/>
  <c r="O127" i="1"/>
  <c r="O125" i="1"/>
  <c r="O126" i="1"/>
  <c r="P124" i="1"/>
  <c r="B81" i="1"/>
  <c r="D81" i="1" s="1"/>
  <c r="D80" i="1"/>
  <c r="G66" i="1"/>
  <c r="G67" i="1" s="1"/>
  <c r="I65" i="1"/>
  <c r="S60" i="1"/>
  <c r="S64" i="1"/>
  <c r="S63" i="1"/>
  <c r="S62" i="1"/>
  <c r="M130" i="1" l="1"/>
  <c r="M131" i="1" s="1"/>
  <c r="L107" i="1"/>
  <c r="L108" i="1" s="1"/>
  <c r="L130" i="1"/>
  <c r="L131" i="1" s="1"/>
  <c r="M66" i="1"/>
  <c r="M67" i="1" s="1"/>
  <c r="Q64" i="1"/>
  <c r="Q62" i="1"/>
  <c r="Q63" i="1"/>
  <c r="Q60" i="1"/>
  <c r="Q61" i="1"/>
  <c r="I66" i="1" l="1"/>
  <c r="I67" i="1" s="1"/>
</calcChain>
</file>

<file path=xl/sharedStrings.xml><?xml version="1.0" encoding="utf-8"?>
<sst xmlns="http://schemas.openxmlformats.org/spreadsheetml/2006/main" count="198" uniqueCount="127">
  <si>
    <t>Activos</t>
  </si>
  <si>
    <t>Activo Contable</t>
  </si>
  <si>
    <t>Pasivos/Derechos</t>
  </si>
  <si>
    <t>Cuentas por Pagar</t>
  </si>
  <si>
    <t>Acumulaciones</t>
  </si>
  <si>
    <t>Deuda CP</t>
  </si>
  <si>
    <t>Pasivo Circulante</t>
  </si>
  <si>
    <t>Activo Circulante</t>
  </si>
  <si>
    <t>Activo Fijo</t>
  </si>
  <si>
    <t>Deuda LP</t>
  </si>
  <si>
    <t>Pasivo Contable</t>
  </si>
  <si>
    <t>Acciones comunes</t>
  </si>
  <si>
    <t>Ganancias Retenidas</t>
  </si>
  <si>
    <t>Capital Contable</t>
  </si>
  <si>
    <t>Derechos Totales</t>
  </si>
  <si>
    <t>Capital provisto por los Inversionistas</t>
  </si>
  <si>
    <t>Valor Contable</t>
  </si>
  <si>
    <t>Objetivo en %</t>
  </si>
  <si>
    <t>Valor de Mercado</t>
  </si>
  <si>
    <t>Supongamos que la Gerencia concluyera que la Estructura Óptima de Deuda fuera del 50% (45-55%)</t>
  </si>
  <si>
    <t>Obtendríamos estos tres WACC</t>
  </si>
  <si>
    <t>Contable</t>
  </si>
  <si>
    <t>De Mercado</t>
  </si>
  <si>
    <t>Objetivo</t>
  </si>
  <si>
    <t xml:space="preserve">Que el costo de la deuda, CL y LP, es de </t>
  </si>
  <si>
    <t xml:space="preserve">y el de las Acciones del </t>
  </si>
  <si>
    <t>con una tasa impositiva del</t>
  </si>
  <si>
    <t>A mayor diferencia entre el precio contable y de marcado de las acciones, mayor diferencia</t>
  </si>
  <si>
    <t>El WACC para un proyecto de riesgo medio de la Empresa sería del 7,25%</t>
  </si>
  <si>
    <t>La Empresa financiará sus nuevos proyectos con más deuda o acciones según su punto de partida y sus ponderaciones objetivo (aunque las mismas seguramente cambiarán en el tiempo)</t>
  </si>
  <si>
    <t>Volvemos al PPT</t>
  </si>
  <si>
    <t>RIESGO DE NEGOCIOS MEDIDO POR EL DS DEL ROIC</t>
  </si>
  <si>
    <t>AÑO</t>
  </si>
  <si>
    <t>ROIC</t>
  </si>
  <si>
    <t>PROMEDIO</t>
  </si>
  <si>
    <t>DESVÍO</t>
  </si>
  <si>
    <t>MUESTRAL</t>
  </si>
  <si>
    <t>Volvemos al PPT a analizar los factores que afectan al riesgo de negocios</t>
  </si>
  <si>
    <t>APALANCAMIENTO OPERATIVO</t>
  </si>
  <si>
    <t>Demanda</t>
  </si>
  <si>
    <t>Prob</t>
  </si>
  <si>
    <t>Unidades</t>
  </si>
  <si>
    <t>Vendidas</t>
  </si>
  <si>
    <t>Ventas</t>
  </si>
  <si>
    <t>USD</t>
  </si>
  <si>
    <t>Costos de la</t>
  </si>
  <si>
    <t>Operación</t>
  </si>
  <si>
    <t>EBIT</t>
  </si>
  <si>
    <t>EBIT * (1-T)</t>
  </si>
  <si>
    <t>PLAN A</t>
  </si>
  <si>
    <t>PLAN B</t>
  </si>
  <si>
    <t>PRECIO VENTA UNITARIO</t>
  </si>
  <si>
    <t>COSTOS VARIABLES UNITARIOS</t>
  </si>
  <si>
    <t>CAPITAL INVERTIDO</t>
  </si>
  <si>
    <t>TASA IMPOSITIVA</t>
  </si>
  <si>
    <t>COSTOS FIJOS</t>
  </si>
  <si>
    <t>MUY MALA</t>
  </si>
  <si>
    <t>MALA</t>
  </si>
  <si>
    <t>MEDIA</t>
  </si>
  <si>
    <t>BUENA</t>
  </si>
  <si>
    <t>MUY BUENA</t>
  </si>
  <si>
    <t xml:space="preserve">DESVIO </t>
  </si>
  <si>
    <t>CV</t>
  </si>
  <si>
    <t>PUNTO DE EQUILIBRIO</t>
  </si>
  <si>
    <t>FIJOS</t>
  </si>
  <si>
    <t>P - V</t>
  </si>
  <si>
    <t>UNIDADES</t>
  </si>
  <si>
    <t>RIESGO FINANCIERO</t>
  </si>
  <si>
    <t>NIVEL DE DEUDA</t>
  </si>
  <si>
    <t>TASA DE INTERÉS DE TODA LA DEUDA</t>
  </si>
  <si>
    <t>RAZÓN DEUDA / CAPITAL($200,000)</t>
  </si>
  <si>
    <t>A MAYOR RAZÓN, MAYOR COSTO DE LA DEUDA TOTAL</t>
  </si>
  <si>
    <t>SEGUIR CON EL CAPITAL DE 200,000 TODO EN ACCIONES O FINANCIARLO 50% CON DEUDA</t>
  </si>
  <si>
    <t>LA EMPRESA TIENE 10,000 ACCIONES CIRCULANTES QUE RECOMPRARÍA A SU VALOR DE MERCADO, $20, EL 50% DE LAS MISMAS</t>
  </si>
  <si>
    <t>SITUACIÓN 1 - DEUDA $ 0.-</t>
  </si>
  <si>
    <t>RAZÓN DEUDA/CAPITAL</t>
  </si>
  <si>
    <t>TASA IMPOSTIVA</t>
  </si>
  <si>
    <t xml:space="preserve">DEUDA </t>
  </si>
  <si>
    <t>ACCIONES</t>
  </si>
  <si>
    <t>ACCIONES CIRCULANTES</t>
  </si>
  <si>
    <t>INTERESES</t>
  </si>
  <si>
    <t>INGRESO</t>
  </si>
  <si>
    <t>NETO</t>
  </si>
  <si>
    <t>ROE</t>
  </si>
  <si>
    <t>EPS</t>
  </si>
  <si>
    <t>SITUACIÓN 2 - DEUDA $ 100,000.-</t>
  </si>
  <si>
    <t>TASA DE DEUDA</t>
  </si>
  <si>
    <t>MAYOR</t>
  </si>
  <si>
    <t>RIESGO</t>
  </si>
  <si>
    <t>ANALICEMOS LAS EPS EN BASE A LA RELACIÓN DEUDA / CAPITAL</t>
  </si>
  <si>
    <t>DEUDA/CAPITAL</t>
  </si>
  <si>
    <t>ESPERADA</t>
  </si>
  <si>
    <t xml:space="preserve">EPS </t>
  </si>
  <si>
    <t>DESVIO STD</t>
  </si>
  <si>
    <t>DE LAS EPS</t>
  </si>
  <si>
    <t>LA PREGUNTA A RESPONDER ES CÓMO EQUILIBRAR ESTOS DOS EFECTOS</t>
  </si>
  <si>
    <t>EPS ESPERADAS CRECIENTES A MAYOR ENDEUDAMIENTO</t>
  </si>
  <si>
    <t>RIESGO CRECIENTE A MAYOR ENDEUDAMIENTO</t>
  </si>
  <si>
    <t>A LA HORA DE DETERMINAR LA ESTRUCTURA ÓPTIMA DE CAPITAL</t>
  </si>
  <si>
    <t>LA DIFERENCIA ENTRE LAS CURVAS MARCA EL RIESGO FINANCIERO AGREGADO AL ACCIONISTA</t>
  </si>
  <si>
    <t>ESTIMACIÓN DEL PRECIO DE LAS ACCIONES Y EL WACC CON DIFERENTES RAZON DE DE DEUDA/CAPITAL</t>
  </si>
  <si>
    <t>Volvamos al PPT</t>
  </si>
  <si>
    <t>Ponderación</t>
  </si>
  <si>
    <t>Deuda</t>
  </si>
  <si>
    <t>D/E</t>
  </si>
  <si>
    <t>rd * (1-T)</t>
  </si>
  <si>
    <t>Esperadas</t>
  </si>
  <si>
    <t>Beta</t>
  </si>
  <si>
    <t>Estimada</t>
  </si>
  <si>
    <t xml:space="preserve"> rRF+RPm*b</t>
  </si>
  <si>
    <t>rs=</t>
  </si>
  <si>
    <t>Precio</t>
  </si>
  <si>
    <t>Estimado</t>
  </si>
  <si>
    <t>Razón</t>
  </si>
  <si>
    <t>P/E</t>
  </si>
  <si>
    <t>WACC</t>
  </si>
  <si>
    <t>rRF</t>
  </si>
  <si>
    <t>RPm</t>
  </si>
  <si>
    <t>Tasa Libre</t>
  </si>
  <si>
    <t>de Riesgo</t>
  </si>
  <si>
    <t>Prima Riesgo</t>
  </si>
  <si>
    <t>Negocio</t>
  </si>
  <si>
    <t>Financiero</t>
  </si>
  <si>
    <t>SUPERADO DETERMINADO NIVEL DE D/E, EL BENEFICIO DE CAMBIAR CAPITAL CARO (ACCIONES) POR CAPITAL MÁS BARATO (DEUDA)</t>
  </si>
  <si>
    <t>SUPONGAMOS QUE SE EVALÚAN SÓLO DOS POSIBILIDADES DE APALANCAMIENTO FINANCIERO A PARTIR DE CONSERVAR EL PLAN B DE APALANCAMIENTO OPERATIVO</t>
  </si>
  <si>
    <t>EPS = DPS, no hay retención de ganancias ni, crecimiento</t>
  </si>
  <si>
    <t>TERMINA SIENDO SOBRECOMPENSADO POR EL AUMENTO EN EL COSTO DE AMBAS FUENTES DE 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</si>
</sst>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0.000%"/>
    <numFmt numFmtId="166" formatCode="_-&quot;$&quot;\ * #,##0.0_-;\-&quot;$&quot;\ * #,##0.0_-;_-&quot;$&quot;\ * &quot;-&quot;??_-;_-@_-"/>
    <numFmt numFmtId="167" formatCode="_-&quot;$&quot;\ * #,##0_-;\-&quot;$&quot;\ * #,##0_-;_-&quot;$&quot;\ * &quot;-&quot;??_-;_-@_-"/>
    <numFmt numFmtId="168" formatCode="_-* #,##0_-;\-* #,##0_-;_-* &quot;-&quot;??_-;_-@_-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9" fontId="0" fillId="0" borderId="0" xfId="3" applyFont="1"/>
    <xf numFmtId="164" fontId="0" fillId="0" borderId="0" xfId="3" applyNumberFormat="1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164" fontId="0" fillId="0" borderId="2" xfId="3" applyNumberFormat="1" applyFont="1" applyBorder="1"/>
    <xf numFmtId="0" fontId="0" fillId="0" borderId="2" xfId="0" applyBorder="1"/>
    <xf numFmtId="0" fontId="0" fillId="0" borderId="3" xfId="0" applyBorder="1"/>
    <xf numFmtId="164" fontId="0" fillId="0" borderId="4" xfId="3" applyNumberFormat="1" applyFont="1" applyBorder="1"/>
    <xf numFmtId="9" fontId="0" fillId="0" borderId="2" xfId="0" applyNumberFormat="1" applyBorder="1"/>
    <xf numFmtId="164" fontId="0" fillId="3" borderId="2" xfId="3" applyNumberFormat="1" applyFont="1" applyFill="1" applyBorder="1"/>
    <xf numFmtId="9" fontId="0" fillId="3" borderId="2" xfId="0" applyNumberFormat="1" applyFill="1" applyBorder="1"/>
    <xf numFmtId="9" fontId="0" fillId="0" borderId="4" xfId="0" applyNumberFormat="1" applyBorder="1"/>
    <xf numFmtId="10" fontId="0" fillId="0" borderId="0" xfId="3" applyNumberFormat="1" applyFont="1"/>
    <xf numFmtId="165" fontId="0" fillId="0" borderId="0" xfId="3" applyNumberFormat="1" applyFont="1"/>
    <xf numFmtId="164" fontId="0" fillId="0" borderId="0" xfId="0" applyNumberFormat="1"/>
    <xf numFmtId="10" fontId="0" fillId="0" borderId="0" xfId="0" applyNumberFormat="1"/>
    <xf numFmtId="44" fontId="0" fillId="0" borderId="0" xfId="2" applyFont="1"/>
    <xf numFmtId="167" fontId="0" fillId="0" borderId="0" xfId="2" applyNumberFormat="1" applyFont="1"/>
    <xf numFmtId="43" fontId="0" fillId="0" borderId="0" xfId="1" applyFont="1"/>
    <xf numFmtId="168" fontId="0" fillId="0" borderId="0" xfId="1" applyNumberFormat="1" applyFont="1"/>
    <xf numFmtId="9" fontId="0" fillId="0" borderId="7" xfId="0" applyNumberFormat="1" applyBorder="1"/>
    <xf numFmtId="168" fontId="0" fillId="0" borderId="7" xfId="1" applyNumberFormat="1" applyFont="1" applyBorder="1"/>
    <xf numFmtId="167" fontId="0" fillId="0" borderId="7" xfId="2" applyNumberFormat="1" applyFont="1" applyBorder="1"/>
    <xf numFmtId="167" fontId="0" fillId="0" borderId="0" xfId="0" applyNumberFormat="1"/>
    <xf numFmtId="167" fontId="0" fillId="0" borderId="7" xfId="0" applyNumberFormat="1" applyBorder="1"/>
    <xf numFmtId="164" fontId="0" fillId="0" borderId="7" xfId="3" applyNumberFormat="1" applyFont="1" applyBorder="1"/>
    <xf numFmtId="0" fontId="0" fillId="0" borderId="7" xfId="0" applyBorder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2" borderId="0" xfId="3" applyNumberFormat="1" applyFont="1" applyFill="1"/>
    <xf numFmtId="10" fontId="0" fillId="2" borderId="0" xfId="3" applyNumberFormat="1" applyFont="1" applyFill="1"/>
    <xf numFmtId="43" fontId="0" fillId="2" borderId="0" xfId="1" applyFont="1" applyFill="1"/>
    <xf numFmtId="10" fontId="0" fillId="0" borderId="7" xfId="3" applyNumberFormat="1" applyFont="1" applyBorder="1"/>
    <xf numFmtId="44" fontId="0" fillId="0" borderId="7" xfId="2" applyFont="1" applyBorder="1"/>
    <xf numFmtId="2" fontId="0" fillId="0" borderId="0" xfId="0" applyNumberFormat="1"/>
    <xf numFmtId="164" fontId="0" fillId="0" borderId="0" xfId="3" applyNumberFormat="1" applyFont="1" applyFill="1"/>
    <xf numFmtId="10" fontId="0" fillId="2" borderId="0" xfId="3" applyNumberFormat="1" applyFont="1" applyFill="1" applyAlignment="1">
      <alignment horizontal="center"/>
    </xf>
    <xf numFmtId="44" fontId="0" fillId="2" borderId="0" xfId="2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0" borderId="0" xfId="0" applyFont="1"/>
    <xf numFmtId="9" fontId="0" fillId="0" borderId="0" xfId="0" applyNumberFormat="1" applyAlignment="1">
      <alignment horizontal="center"/>
    </xf>
    <xf numFmtId="9" fontId="0" fillId="4" borderId="0" xfId="0" applyNumberFormat="1" applyFill="1"/>
    <xf numFmtId="2" fontId="0" fillId="4" borderId="0" xfId="0" applyNumberFormat="1" applyFill="1"/>
    <xf numFmtId="10" fontId="0" fillId="4" borderId="0" xfId="0" applyNumberFormat="1" applyFill="1"/>
    <xf numFmtId="44" fontId="0" fillId="4" borderId="0" xfId="2" applyFont="1" applyFill="1"/>
    <xf numFmtId="10" fontId="0" fillId="4" borderId="0" xfId="3" applyNumberFormat="1" applyFont="1" applyFill="1"/>
    <xf numFmtId="43" fontId="0" fillId="4" borderId="0" xfId="1" applyFont="1" applyFill="1"/>
    <xf numFmtId="16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EPS Esperadas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Hoja1!$B$145:$B$151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Hoja1!$C$145:$C$151</c:f>
              <c:numCache>
                <c:formatCode>General</c:formatCode>
                <c:ptCount val="7"/>
                <c:pt idx="0">
                  <c:v>1.8</c:v>
                </c:pt>
                <c:pt idx="1">
                  <c:v>1.95</c:v>
                </c:pt>
                <c:pt idx="2">
                  <c:v>2.12</c:v>
                </c:pt>
                <c:pt idx="3">
                  <c:v>2.31</c:v>
                </c:pt>
                <c:pt idx="4">
                  <c:v>2.54</c:v>
                </c:pt>
                <c:pt idx="5">
                  <c:v>2.74</c:v>
                </c:pt>
                <c:pt idx="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03-ADF6-58C6708EC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398912"/>
        <c:axId val="1714393632"/>
      </c:lineChart>
      <c:catAx>
        <c:axId val="17143989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4393632"/>
        <c:crosses val="autoZero"/>
        <c:auto val="1"/>
        <c:lblAlgn val="ctr"/>
        <c:lblOffset val="100"/>
        <c:noMultiLvlLbl val="0"/>
      </c:catAx>
      <c:valAx>
        <c:axId val="17143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439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 riesgo Financiero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Hoja1!$B$145:$B$151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Hoja1!$E$145:$E$151</c:f>
              <c:numCache>
                <c:formatCode>0.00</c:formatCode>
                <c:ptCount val="7"/>
                <c:pt idx="0">
                  <c:v>1.6444444444444444</c:v>
                </c:pt>
                <c:pt idx="1">
                  <c:v>1.6871794871794872</c:v>
                </c:pt>
                <c:pt idx="2">
                  <c:v>1.7452830188679245</c:v>
                </c:pt>
                <c:pt idx="3">
                  <c:v>1.8311688311688312</c:v>
                </c:pt>
                <c:pt idx="4">
                  <c:v>1.9448818897637796</c:v>
                </c:pt>
                <c:pt idx="5">
                  <c:v>2.1642335766423355</c:v>
                </c:pt>
                <c:pt idx="6">
                  <c:v>2.7444444444444445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A-4632-BED2-31EFDD0CADBE}"/>
            </c:ext>
          </c:extLst>
        </c:ser>
        <c:ser>
          <c:idx val="1"/>
          <c:order val="1"/>
          <c:tx>
            <c:v>Riesgo Básico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Hoja1!$B$145:$B$151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Hoja1!$F$145:$F$151</c:f>
              <c:numCache>
                <c:formatCode>0.00</c:formatCode>
                <c:ptCount val="7"/>
                <c:pt idx="0">
                  <c:v>1.6444444444444444</c:v>
                </c:pt>
                <c:pt idx="1">
                  <c:v>1.6444444444444444</c:v>
                </c:pt>
                <c:pt idx="2">
                  <c:v>1.6444444444444444</c:v>
                </c:pt>
                <c:pt idx="3">
                  <c:v>1.6444444444444444</c:v>
                </c:pt>
                <c:pt idx="4">
                  <c:v>1.6444444444444444</c:v>
                </c:pt>
                <c:pt idx="5">
                  <c:v>1.6444444444444444</c:v>
                </c:pt>
                <c:pt idx="6">
                  <c:v>1.6444444444444444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CA-4632-BED2-31EFDD0C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396032"/>
        <c:axId val="1714399872"/>
      </c:lineChart>
      <c:catAx>
        <c:axId val="171439603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4399872"/>
        <c:crosses val="autoZero"/>
        <c:auto val="1"/>
        <c:lblAlgn val="ctr"/>
        <c:lblOffset val="100"/>
        <c:noMultiLvlLbl val="0"/>
      </c:catAx>
      <c:valAx>
        <c:axId val="17143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4396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Hoja1!$B$175:$B$181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Hoja1!$K$175:$K$181</c:f>
              <c:numCache>
                <c:formatCode>0.0%</c:formatCode>
                <c:ptCount val="7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5-4540-920D-E24D604DC997}"/>
            </c:ext>
          </c:extLst>
        </c:ser>
        <c:ser>
          <c:idx val="1"/>
          <c:order val="1"/>
          <c:tx>
            <c:strRef>
              <c:f>Hoja1!$O$175:$O$181</c:f>
              <c:strCache>
                <c:ptCount val="7"/>
                <c:pt idx="0">
                  <c:v>9,0%</c:v>
                </c:pt>
                <c:pt idx="1">
                  <c:v>9,0%</c:v>
                </c:pt>
                <c:pt idx="2">
                  <c:v>9,0%</c:v>
                </c:pt>
                <c:pt idx="3">
                  <c:v>9,0%</c:v>
                </c:pt>
                <c:pt idx="4">
                  <c:v>9,0%</c:v>
                </c:pt>
                <c:pt idx="5">
                  <c:v>9,0%</c:v>
                </c:pt>
                <c:pt idx="6">
                  <c:v>9,0%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Hoja1!$O$175:$O$181</c:f>
              <c:numCache>
                <c:formatCode>0.0%</c:formatCode>
                <c:ptCount val="7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5-4540-920D-E24D604DC99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Hoja1!$G$175:$G$181</c:f>
              <c:numCache>
                <c:formatCode>0.00%</c:formatCode>
                <c:ptCount val="7"/>
                <c:pt idx="0">
                  <c:v>0.09</c:v>
                </c:pt>
                <c:pt idx="1">
                  <c:v>9.4E-2</c:v>
                </c:pt>
                <c:pt idx="2">
                  <c:v>9.8999999999999991E-2</c:v>
                </c:pt>
                <c:pt idx="3">
                  <c:v>0.10542857142857143</c:v>
                </c:pt>
                <c:pt idx="4">
                  <c:v>0.11399999999999999</c:v>
                </c:pt>
                <c:pt idx="5">
                  <c:v>0.126</c:v>
                </c:pt>
                <c:pt idx="6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5-4540-920D-E24D604DC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511503"/>
        <c:axId val="965498063"/>
      </c:lineChart>
      <c:catAx>
        <c:axId val="96551150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5498063"/>
        <c:crosses val="autoZero"/>
        <c:auto val="1"/>
        <c:lblAlgn val="ctr"/>
        <c:lblOffset val="100"/>
        <c:noMultiLvlLbl val="0"/>
      </c:catAx>
      <c:valAx>
        <c:axId val="96549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551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Costos</a:t>
            </a:r>
            <a:r>
              <a:rPr lang="es-ES" baseline="0"/>
              <a:t> del Capital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047003499562556"/>
          <c:y val="0.17171296296296298"/>
          <c:w val="0.85341885389326333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Tasa Accionistas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Hoja1!$B$175:$B$181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Hoja1!$G$175:$G$181</c:f>
              <c:numCache>
                <c:formatCode>0.00%</c:formatCode>
                <c:ptCount val="7"/>
                <c:pt idx="0">
                  <c:v>0.09</c:v>
                </c:pt>
                <c:pt idx="1">
                  <c:v>9.4E-2</c:v>
                </c:pt>
                <c:pt idx="2">
                  <c:v>9.8999999999999991E-2</c:v>
                </c:pt>
                <c:pt idx="3">
                  <c:v>0.10542857142857143</c:v>
                </c:pt>
                <c:pt idx="4">
                  <c:v>0.11399999999999999</c:v>
                </c:pt>
                <c:pt idx="5">
                  <c:v>0.126</c:v>
                </c:pt>
                <c:pt idx="6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A-4465-8C1C-9B703D5F3340}"/>
            </c:ext>
          </c:extLst>
        </c:ser>
        <c:ser>
          <c:idx val="1"/>
          <c:order val="1"/>
          <c:tx>
            <c:v>Tasa Deuda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Hoja1!$B$175:$B$181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Hoja1!$D$175:$D$181</c:f>
              <c:numCache>
                <c:formatCode>0.00%</c:formatCode>
                <c:ptCount val="7"/>
                <c:pt idx="0">
                  <c:v>2.4E-2</c:v>
                </c:pt>
                <c:pt idx="1">
                  <c:v>2.4E-2</c:v>
                </c:pt>
                <c:pt idx="2">
                  <c:v>2.58E-2</c:v>
                </c:pt>
                <c:pt idx="3">
                  <c:v>0.03</c:v>
                </c:pt>
                <c:pt idx="4">
                  <c:v>3.4799999999999998E-2</c:v>
                </c:pt>
                <c:pt idx="5">
                  <c:v>4.3200000000000002E-2</c:v>
                </c:pt>
                <c:pt idx="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1A-4465-8C1C-9B703D5F3340}"/>
            </c:ext>
          </c:extLst>
        </c:ser>
        <c:ser>
          <c:idx val="2"/>
          <c:order val="2"/>
          <c:tx>
            <c:v>WACC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Hoja1!$J$175:$J$181</c:f>
              <c:numCache>
                <c:formatCode>0.00%</c:formatCode>
                <c:ptCount val="7"/>
                <c:pt idx="0">
                  <c:v>0.09</c:v>
                </c:pt>
                <c:pt idx="1">
                  <c:v>8.7000000000000008E-2</c:v>
                </c:pt>
                <c:pt idx="2">
                  <c:v>8.4359999999999991E-2</c:v>
                </c:pt>
                <c:pt idx="3">
                  <c:v>8.2799999999999985E-2</c:v>
                </c:pt>
                <c:pt idx="4">
                  <c:v>8.231999999999999E-2</c:v>
                </c:pt>
                <c:pt idx="5">
                  <c:v>8.4600000000000009E-2</c:v>
                </c:pt>
                <c:pt idx="6">
                  <c:v>9.3599999999999989E-2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1A-4465-8C1C-9B703D5F33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1188112"/>
        <c:axId val="891205392"/>
      </c:lineChart>
      <c:catAx>
        <c:axId val="89118811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1205392"/>
        <c:crosses val="autoZero"/>
        <c:auto val="1"/>
        <c:lblAlgn val="ctr"/>
        <c:lblOffset val="100"/>
        <c:noMultiLvlLbl val="0"/>
      </c:catAx>
      <c:valAx>
        <c:axId val="8912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118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29379874524234"/>
          <c:y val="0.74802363820585216"/>
          <c:w val="0.16970620125475769"/>
          <c:h val="0.16363748812375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Precio Acción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Hoja1!$B$175:$B$181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Hoja1!$H$175:$H$181</c:f>
              <c:numCache>
                <c:formatCode>_("$"* #,##0.00_);_("$"* \(#,##0.00\);_("$"* "-"??_);_(@_)</c:formatCode>
                <c:ptCount val="7"/>
                <c:pt idx="0">
                  <c:v>20</c:v>
                </c:pt>
                <c:pt idx="1">
                  <c:v>20.74468085106383</c:v>
                </c:pt>
                <c:pt idx="2">
                  <c:v>21.414141414141419</c:v>
                </c:pt>
                <c:pt idx="3">
                  <c:v>21.910569105691057</c:v>
                </c:pt>
                <c:pt idx="4">
                  <c:v>22.280701754385966</c:v>
                </c:pt>
                <c:pt idx="5">
                  <c:v>21.746031746031747</c:v>
                </c:pt>
                <c:pt idx="6">
                  <c:v>18.750000000000004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F-4935-9541-E30B3CCAB7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10536576"/>
        <c:axId val="910548096"/>
      </c:lineChart>
      <c:catAx>
        <c:axId val="9105365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0548096"/>
        <c:crosses val="autoZero"/>
        <c:auto val="1"/>
        <c:lblAlgn val="ctr"/>
        <c:lblOffset val="100"/>
        <c:noMultiLvlLbl val="0"/>
      </c:catAx>
      <c:valAx>
        <c:axId val="9105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053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Hoja1!$B$175:$B$181</c:f>
              <c:numCache>
                <c:formatCode>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cat>
          <c:val>
            <c:numRef>
              <c:f>Hoja1!$E$175:$E$181</c:f>
              <c:numCache>
                <c:formatCode>_("$"* #,##0.00_);_("$"* \(#,##0.00\);_("$"* "-"??_);_(@_)</c:formatCode>
                <c:ptCount val="7"/>
                <c:pt idx="0">
                  <c:v>1.8</c:v>
                </c:pt>
                <c:pt idx="1">
                  <c:v>1.95</c:v>
                </c:pt>
                <c:pt idx="2">
                  <c:v>2.12</c:v>
                </c:pt>
                <c:pt idx="3">
                  <c:v>2.31</c:v>
                </c:pt>
                <c:pt idx="4">
                  <c:v>2.54</c:v>
                </c:pt>
                <c:pt idx="5">
                  <c:v>2.74</c:v>
                </c:pt>
                <c:pt idx="6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9-42EF-BA1F-62D7CC63D88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1008784"/>
        <c:axId val="891027504"/>
      </c:lineChart>
      <c:catAx>
        <c:axId val="89100878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1027504"/>
        <c:crosses val="autoZero"/>
        <c:auto val="1"/>
        <c:lblAlgn val="ctr"/>
        <c:lblOffset val="100"/>
        <c:noMultiLvlLbl val="0"/>
      </c:catAx>
      <c:valAx>
        <c:axId val="8910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100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152</xdr:row>
      <xdr:rowOff>52387</xdr:rowOff>
    </xdr:from>
    <xdr:to>
      <xdr:col>5</xdr:col>
      <xdr:colOff>314325</xdr:colOff>
      <xdr:row>164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AF6023-B06E-F05A-39BC-23C1AABF9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828675</xdr:colOff>
      <xdr:row>152</xdr:row>
      <xdr:rowOff>109536</xdr:rowOff>
    </xdr:from>
    <xdr:to>
      <xdr:col>10</xdr:col>
      <xdr:colOff>695325</xdr:colOff>
      <xdr:row>164</xdr:row>
      <xdr:rowOff>114299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441ADB-6D7D-3A7F-F725-143394AB5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561975</xdr:colOff>
      <xdr:row>182</xdr:row>
      <xdr:rowOff>14287</xdr:rowOff>
    </xdr:from>
    <xdr:to>
      <xdr:col>7</xdr:col>
      <xdr:colOff>133350</xdr:colOff>
      <xdr:row>196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6AF5CC-CC9C-8466-DDAD-EF1EEEAAE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268606</xdr:colOff>
      <xdr:row>185</xdr:row>
      <xdr:rowOff>95250</xdr:rowOff>
    </xdr:from>
    <xdr:to>
      <xdr:col>7</xdr:col>
      <xdr:colOff>314325</xdr:colOff>
      <xdr:row>188</xdr:row>
      <xdr:rowOff>66675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59681E2A-8F2D-718E-280B-04D4E576D997}"/>
            </a:ext>
          </a:extLst>
        </xdr:cNvPr>
        <xdr:cNvSpPr/>
      </xdr:nvSpPr>
      <xdr:spPr>
        <a:xfrm>
          <a:off x="5878831" y="35404425"/>
          <a:ext cx="45719" cy="5429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257175</xdr:colOff>
      <xdr:row>189</xdr:row>
      <xdr:rowOff>38100</xdr:rowOff>
    </xdr:from>
    <xdr:to>
      <xdr:col>7</xdr:col>
      <xdr:colOff>323850</xdr:colOff>
      <xdr:row>192</xdr:row>
      <xdr:rowOff>142875</xdr:rowOff>
    </xdr:to>
    <xdr:sp macro="" textlink="">
      <xdr:nvSpPr>
        <xdr:cNvPr id="6" name="Cerrar llave 5">
          <a:extLst>
            <a:ext uri="{FF2B5EF4-FFF2-40B4-BE49-F238E27FC236}">
              <a16:creationId xmlns:a16="http://schemas.microsoft.com/office/drawing/2014/main" id="{E383F689-DB00-C41D-7690-AA644B91C04A}"/>
            </a:ext>
          </a:extLst>
        </xdr:cNvPr>
        <xdr:cNvSpPr/>
      </xdr:nvSpPr>
      <xdr:spPr>
        <a:xfrm>
          <a:off x="5867400" y="36109275"/>
          <a:ext cx="66675" cy="6762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257176</xdr:colOff>
      <xdr:row>193</xdr:row>
      <xdr:rowOff>47625</xdr:rowOff>
    </xdr:from>
    <xdr:to>
      <xdr:col>7</xdr:col>
      <xdr:colOff>314325</xdr:colOff>
      <xdr:row>195</xdr:row>
      <xdr:rowOff>38100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D1BB0D06-3173-45BD-962D-1293EED1C5E8}"/>
            </a:ext>
          </a:extLst>
        </xdr:cNvPr>
        <xdr:cNvSpPr/>
      </xdr:nvSpPr>
      <xdr:spPr>
        <a:xfrm>
          <a:off x="5867401" y="36880800"/>
          <a:ext cx="57149" cy="3714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533399</xdr:colOff>
      <xdr:row>193</xdr:row>
      <xdr:rowOff>66675</xdr:rowOff>
    </xdr:from>
    <xdr:to>
      <xdr:col>12</xdr:col>
      <xdr:colOff>257175</xdr:colOff>
      <xdr:row>194</xdr:row>
      <xdr:rowOff>171451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B212603-FDCF-7070-29E4-BCECA022BD8D}"/>
            </a:ext>
          </a:extLst>
        </xdr:cNvPr>
        <xdr:cNvSpPr txBox="1"/>
      </xdr:nvSpPr>
      <xdr:spPr>
        <a:xfrm>
          <a:off x="6143624" y="36899850"/>
          <a:ext cx="3781426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RF =</a:t>
          </a:r>
          <a:r>
            <a:rPr lang="es-ES" sz="1100" baseline="0"/>
            <a:t> Valor del dinero en el tiempo + Inflación esperada</a:t>
          </a:r>
          <a:endParaRPr lang="es-ES" sz="1100"/>
        </a:p>
      </xdr:txBody>
    </xdr:sp>
    <xdr:clientData/>
  </xdr:twoCellAnchor>
  <xdr:twoCellAnchor>
    <xdr:from>
      <xdr:col>7</xdr:col>
      <xdr:colOff>542924</xdr:colOff>
      <xdr:row>189</xdr:row>
      <xdr:rowOff>171450</xdr:rowOff>
    </xdr:from>
    <xdr:to>
      <xdr:col>12</xdr:col>
      <xdr:colOff>266700</xdr:colOff>
      <xdr:row>191</xdr:row>
      <xdr:rowOff>85726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172EBEA-7C7D-401D-9DE5-F012635A7920}"/>
            </a:ext>
          </a:extLst>
        </xdr:cNvPr>
        <xdr:cNvSpPr txBox="1"/>
      </xdr:nvSpPr>
      <xdr:spPr>
        <a:xfrm>
          <a:off x="6153149" y="36242625"/>
          <a:ext cx="3781426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Prima de Riesgo de Negocios</a:t>
          </a:r>
        </a:p>
      </xdr:txBody>
    </xdr:sp>
    <xdr:clientData/>
  </xdr:twoCellAnchor>
  <xdr:twoCellAnchor>
    <xdr:from>
      <xdr:col>7</xdr:col>
      <xdr:colOff>695324</xdr:colOff>
      <xdr:row>186</xdr:row>
      <xdr:rowOff>104775</xdr:rowOff>
    </xdr:from>
    <xdr:to>
      <xdr:col>12</xdr:col>
      <xdr:colOff>419100</xdr:colOff>
      <xdr:row>188</xdr:row>
      <xdr:rowOff>19051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C9C9B18-038B-434D-AC62-4E3C45384AF0}"/>
            </a:ext>
          </a:extLst>
        </xdr:cNvPr>
        <xdr:cNvSpPr txBox="1"/>
      </xdr:nvSpPr>
      <xdr:spPr>
        <a:xfrm>
          <a:off x="6305549" y="35604450"/>
          <a:ext cx="3781426" cy="295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Prima de Riesgo Financiero</a:t>
          </a:r>
        </a:p>
      </xdr:txBody>
    </xdr:sp>
    <xdr:clientData/>
  </xdr:twoCellAnchor>
  <xdr:twoCellAnchor>
    <xdr:from>
      <xdr:col>0</xdr:col>
      <xdr:colOff>590550</xdr:colOff>
      <xdr:row>201</xdr:row>
      <xdr:rowOff>4761</xdr:rowOff>
    </xdr:from>
    <xdr:to>
      <xdr:col>9</xdr:col>
      <xdr:colOff>257175</xdr:colOff>
      <xdr:row>221</xdr:row>
      <xdr:rowOff>123824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05640B5-D2B4-5587-3232-9617CDC9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723900</xdr:colOff>
      <xdr:row>210</xdr:row>
      <xdr:rowOff>66675</xdr:rowOff>
    </xdr:from>
    <xdr:to>
      <xdr:col>6</xdr:col>
      <xdr:colOff>628650</xdr:colOff>
      <xdr:row>211</xdr:row>
      <xdr:rowOff>114300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390869E6-0036-F712-2551-C9641B26AE5F}"/>
            </a:ext>
          </a:extLst>
        </xdr:cNvPr>
        <xdr:cNvSpPr/>
      </xdr:nvSpPr>
      <xdr:spPr>
        <a:xfrm>
          <a:off x="4591050" y="40138350"/>
          <a:ext cx="742950" cy="23812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552451</xdr:colOff>
      <xdr:row>201</xdr:row>
      <xdr:rowOff>14288</xdr:rowOff>
    </xdr:from>
    <xdr:to>
      <xdr:col>13</xdr:col>
      <xdr:colOff>400051</xdr:colOff>
      <xdr:row>211</xdr:row>
      <xdr:rowOff>47626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84A54B7-3FD2-7BFB-B79F-8D746BC5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542925</xdr:colOff>
      <xdr:row>211</xdr:row>
      <xdr:rowOff>166688</xdr:rowOff>
    </xdr:from>
    <xdr:to>
      <xdr:col>13</xdr:col>
      <xdr:colOff>485775</xdr:colOff>
      <xdr:row>220</xdr:row>
      <xdr:rowOff>66676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F8CB50D-B2C1-4B73-5FF5-B5EDFEC14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238125</xdr:colOff>
      <xdr:row>211</xdr:row>
      <xdr:rowOff>114300</xdr:rowOff>
    </xdr:from>
    <xdr:to>
      <xdr:col>6</xdr:col>
      <xdr:colOff>257175</xdr:colOff>
      <xdr:row>219</xdr:row>
      <xdr:rowOff>95250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A97FE3A8-0DE3-D8B5-763D-18334F81EC2A}"/>
            </a:ext>
          </a:extLst>
        </xdr:cNvPr>
        <xdr:cNvCxnSpPr>
          <a:stCxn id="12" idx="4"/>
        </xdr:cNvCxnSpPr>
      </xdr:nvCxnSpPr>
      <xdr:spPr>
        <a:xfrm flipH="1">
          <a:off x="4943475" y="40376475"/>
          <a:ext cx="19050" cy="1504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619125</xdr:colOff>
      <xdr:row>214</xdr:row>
      <xdr:rowOff>123825</xdr:rowOff>
    </xdr:from>
    <xdr:to>
      <xdr:col>12</xdr:col>
      <xdr:colOff>619125</xdr:colOff>
      <xdr:row>218</xdr:row>
      <xdr:rowOff>123825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CF79F7C9-68D4-41E3-81A4-DBC59065BA8B}"/>
            </a:ext>
          </a:extLst>
        </xdr:cNvPr>
        <xdr:cNvCxnSpPr/>
      </xdr:nvCxnSpPr>
      <xdr:spPr>
        <a:xfrm>
          <a:off x="10287000" y="40957500"/>
          <a:ext cx="0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204</xdr:row>
      <xdr:rowOff>57150</xdr:rowOff>
    </xdr:from>
    <xdr:to>
      <xdr:col>12</xdr:col>
      <xdr:colOff>190500</xdr:colOff>
      <xdr:row>209</xdr:row>
      <xdr:rowOff>171450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E4E4D5A2-CFAB-416F-B5D9-57119F1CF8FF}"/>
            </a:ext>
          </a:extLst>
        </xdr:cNvPr>
        <xdr:cNvCxnSpPr/>
      </xdr:nvCxnSpPr>
      <xdr:spPr>
        <a:xfrm>
          <a:off x="9858375" y="38985825"/>
          <a:ext cx="0" cy="1066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00"/>
  <sheetViews>
    <sheetView tabSelected="1" topLeftCell="A189" workbookViewId="0">
      <selection activeCell="B201" sqref="B201"/>
    </sheetView>
  </sheetViews>
  <sheetFormatPr baseColWidth="10" defaultColWidth="9.140625" defaultRowHeight="15" x14ac:dyDescent="0.25"/>
  <cols>
    <col min="2" max="2" width="16.140625" customWidth="1"/>
    <col min="3" max="3" width="10.5703125" customWidth="1"/>
    <col min="4" max="4" width="11.7109375" customWidth="1"/>
    <col min="5" max="5" width="10.42578125" customWidth="1"/>
    <col min="6" max="6" width="12.5703125" customWidth="1"/>
    <col min="7" max="7" width="13.5703125" customWidth="1"/>
    <col min="8" max="8" width="11.7109375" customWidth="1"/>
    <col min="9" max="9" width="9.42578125" bestFit="1" customWidth="1"/>
    <col min="10" max="10" width="13.5703125" customWidth="1"/>
    <col min="11" max="11" width="11.140625" customWidth="1"/>
    <col min="12" max="12" width="15" customWidth="1"/>
    <col min="13" max="13" width="13.140625" customWidth="1"/>
    <col min="15" max="15" width="11" bestFit="1" customWidth="1"/>
    <col min="16" max="16" width="10" bestFit="1" customWidth="1"/>
    <col min="17" max="17" width="12.28515625" customWidth="1"/>
  </cols>
  <sheetData>
    <row r="1" spans="2:15" ht="15.75" thickBot="1" x14ac:dyDescent="0.3">
      <c r="J1" t="s">
        <v>15</v>
      </c>
    </row>
    <row r="2" spans="2:15" ht="15.75" thickBot="1" x14ac:dyDescent="0.3">
      <c r="B2" t="s">
        <v>0</v>
      </c>
      <c r="E2" t="s">
        <v>2</v>
      </c>
      <c r="J2" s="54" t="s">
        <v>16</v>
      </c>
      <c r="K2" s="55"/>
      <c r="L2" s="54" t="s">
        <v>18</v>
      </c>
      <c r="M2" s="55"/>
      <c r="N2" s="54" t="s">
        <v>17</v>
      </c>
      <c r="O2" s="55"/>
    </row>
    <row r="3" spans="2:15" x14ac:dyDescent="0.25">
      <c r="B3" t="s">
        <v>7</v>
      </c>
      <c r="C3">
        <v>32</v>
      </c>
      <c r="E3" t="s">
        <v>3</v>
      </c>
      <c r="G3">
        <v>10.5</v>
      </c>
      <c r="H3" s="3">
        <f>+G3/$G$13</f>
        <v>0.14056224899598393</v>
      </c>
      <c r="J3" s="6"/>
      <c r="K3" s="7"/>
      <c r="L3" s="6"/>
      <c r="M3" s="7"/>
      <c r="N3" s="6"/>
      <c r="O3" s="7"/>
    </row>
    <row r="4" spans="2:15" x14ac:dyDescent="0.25">
      <c r="B4" t="s">
        <v>8</v>
      </c>
      <c r="C4">
        <v>42.7</v>
      </c>
      <c r="E4" t="s">
        <v>4</v>
      </c>
      <c r="G4">
        <v>1.6</v>
      </c>
      <c r="H4" s="3">
        <f t="shared" ref="H4:H11" si="0">+G4/$G$13</f>
        <v>2.1419009370816599E-2</v>
      </c>
      <c r="J4" s="6"/>
      <c r="K4" s="7"/>
      <c r="L4" s="6"/>
      <c r="M4" s="7"/>
      <c r="N4" s="6"/>
      <c r="O4" s="7"/>
    </row>
    <row r="5" spans="2:15" x14ac:dyDescent="0.25">
      <c r="E5" t="s">
        <v>5</v>
      </c>
      <c r="G5">
        <v>14</v>
      </c>
      <c r="H5" s="3">
        <f t="shared" si="0"/>
        <v>0.18741633199464525</v>
      </c>
      <c r="J5" s="8">
        <f>+G5</f>
        <v>14</v>
      </c>
      <c r="K5" s="9">
        <f t="shared" ref="K5:K11" si="1">+J5/$J$13</f>
        <v>0.22364217252396165</v>
      </c>
      <c r="L5" s="8">
        <f>+G5</f>
        <v>14</v>
      </c>
      <c r="M5" s="10"/>
      <c r="N5" s="8"/>
      <c r="O5" s="13">
        <v>0.05</v>
      </c>
    </row>
    <row r="6" spans="2:15" x14ac:dyDescent="0.25">
      <c r="B6" t="s">
        <v>1</v>
      </c>
      <c r="C6" s="1">
        <f>+C3+C4</f>
        <v>74.7</v>
      </c>
      <c r="E6" t="s">
        <v>6</v>
      </c>
      <c r="G6">
        <f>SUM(G3:G5)</f>
        <v>26.1</v>
      </c>
      <c r="H6" s="3">
        <f t="shared" si="0"/>
        <v>0.3493975903614458</v>
      </c>
      <c r="J6" s="8"/>
      <c r="K6" s="9"/>
      <c r="L6" s="8"/>
      <c r="M6" s="10"/>
      <c r="N6" s="8"/>
      <c r="O6" s="10"/>
    </row>
    <row r="7" spans="2:15" x14ac:dyDescent="0.25">
      <c r="E7" t="s">
        <v>9</v>
      </c>
      <c r="G7">
        <v>35.5</v>
      </c>
      <c r="H7" s="3">
        <f t="shared" si="0"/>
        <v>0.47523427041499328</v>
      </c>
      <c r="J7" s="8">
        <f>+G7</f>
        <v>35.5</v>
      </c>
      <c r="K7" s="9">
        <f t="shared" si="1"/>
        <v>0.56709265175718848</v>
      </c>
      <c r="L7" s="8">
        <f>+G7</f>
        <v>35.5</v>
      </c>
      <c r="M7" s="10"/>
      <c r="N7" s="8"/>
      <c r="O7" s="13">
        <v>0.45</v>
      </c>
    </row>
    <row r="8" spans="2:15" x14ac:dyDescent="0.25">
      <c r="E8" t="s">
        <v>10</v>
      </c>
      <c r="G8">
        <f>+G7+G6</f>
        <v>61.6</v>
      </c>
      <c r="H8" s="3">
        <f t="shared" si="0"/>
        <v>0.82463186077643913</v>
      </c>
      <c r="J8" s="6">
        <f>+J7+J5</f>
        <v>49.5</v>
      </c>
      <c r="K8" s="14">
        <f t="shared" si="1"/>
        <v>0.79073482428115016</v>
      </c>
      <c r="L8" s="6">
        <f>+L7+L5</f>
        <v>49.5</v>
      </c>
      <c r="M8" s="14">
        <f>+L8/$L$13</f>
        <v>0.48151750972762647</v>
      </c>
      <c r="N8" s="6"/>
      <c r="O8" s="15">
        <f>+O7+O5</f>
        <v>0.5</v>
      </c>
    </row>
    <row r="9" spans="2:15" x14ac:dyDescent="0.25">
      <c r="E9" t="s">
        <v>11</v>
      </c>
      <c r="G9">
        <v>5.3</v>
      </c>
      <c r="H9" s="3">
        <f t="shared" si="0"/>
        <v>7.0950468540829981E-2</v>
      </c>
      <c r="J9" s="8">
        <f>+G9</f>
        <v>5.3</v>
      </c>
      <c r="K9" s="9"/>
      <c r="L9" s="8"/>
      <c r="M9" s="10"/>
      <c r="N9" s="8"/>
      <c r="O9" s="10"/>
    </row>
    <row r="10" spans="2:15" x14ac:dyDescent="0.25">
      <c r="E10" t="s">
        <v>12</v>
      </c>
      <c r="G10">
        <v>7.8</v>
      </c>
      <c r="H10" s="3">
        <f t="shared" si="0"/>
        <v>0.10441767068273092</v>
      </c>
      <c r="J10" s="8">
        <f t="shared" ref="J10:J11" si="2">+G10</f>
        <v>7.8</v>
      </c>
      <c r="K10" s="9"/>
      <c r="L10" s="8"/>
      <c r="M10" s="10"/>
      <c r="N10" s="8"/>
      <c r="O10" s="10"/>
    </row>
    <row r="11" spans="2:15" x14ac:dyDescent="0.25">
      <c r="E11" t="s">
        <v>13</v>
      </c>
      <c r="G11">
        <f>+G10+G9</f>
        <v>13.1</v>
      </c>
      <c r="H11" s="3">
        <f t="shared" si="0"/>
        <v>0.1753681392235609</v>
      </c>
      <c r="J11" s="6">
        <f t="shared" si="2"/>
        <v>13.1</v>
      </c>
      <c r="K11" s="14">
        <f t="shared" si="1"/>
        <v>0.20926517571884984</v>
      </c>
      <c r="L11" s="6">
        <v>53.3</v>
      </c>
      <c r="M11" s="14">
        <f>+L11/$L$13</f>
        <v>0.51848249027237348</v>
      </c>
      <c r="N11" s="6"/>
      <c r="O11" s="15">
        <v>0.5</v>
      </c>
    </row>
    <row r="12" spans="2:15" x14ac:dyDescent="0.25">
      <c r="J12" s="8"/>
      <c r="K12" s="10"/>
      <c r="L12" s="8"/>
      <c r="M12" s="10"/>
      <c r="N12" s="8"/>
      <c r="O12" s="10"/>
    </row>
    <row r="13" spans="2:15" ht="15.75" thickBot="1" x14ac:dyDescent="0.3">
      <c r="E13" t="s">
        <v>14</v>
      </c>
      <c r="G13" s="1">
        <f>+G11+G8</f>
        <v>74.7</v>
      </c>
      <c r="J13" s="11">
        <f>+J11+J8</f>
        <v>62.6</v>
      </c>
      <c r="K13" s="12">
        <f>+J13/$J$13</f>
        <v>1</v>
      </c>
      <c r="L13" s="11">
        <f>+L11+L8</f>
        <v>102.8</v>
      </c>
      <c r="M13" s="12">
        <f>+L13/$L$13</f>
        <v>1</v>
      </c>
      <c r="N13" s="11"/>
      <c r="O13" s="16">
        <v>1</v>
      </c>
    </row>
    <row r="16" spans="2:15" x14ac:dyDescent="0.25">
      <c r="B16" t="s">
        <v>19</v>
      </c>
    </row>
    <row r="17" spans="2:12" x14ac:dyDescent="0.25">
      <c r="B17" t="s">
        <v>24</v>
      </c>
      <c r="E17" s="5">
        <v>0.05</v>
      </c>
      <c r="F17" t="s">
        <v>25</v>
      </c>
      <c r="H17" s="5">
        <v>0.11</v>
      </c>
      <c r="I17" t="s">
        <v>26</v>
      </c>
      <c r="L17" s="5">
        <v>0.3</v>
      </c>
    </row>
    <row r="19" spans="2:12" x14ac:dyDescent="0.25">
      <c r="B19" t="s">
        <v>20</v>
      </c>
    </row>
    <row r="21" spans="2:12" x14ac:dyDescent="0.25">
      <c r="D21" t="s">
        <v>21</v>
      </c>
      <c r="F21" s="18">
        <f>+K8*$E$17*(1-$L$17)+K11*$H$17</f>
        <v>5.0694888178913738E-2</v>
      </c>
    </row>
    <row r="22" spans="2:12" x14ac:dyDescent="0.25">
      <c r="D22" t="s">
        <v>22</v>
      </c>
      <c r="F22" s="18">
        <f>+M8*$E$17*(1-$L$17)+M11*$H$17</f>
        <v>7.3886186770428006E-2</v>
      </c>
      <c r="G22" t="s">
        <v>27</v>
      </c>
    </row>
    <row r="23" spans="2:12" x14ac:dyDescent="0.25">
      <c r="D23" t="s">
        <v>23</v>
      </c>
      <c r="F23" s="18">
        <f>+O8*$E$17*(1-$L$17)+O11*$H$17</f>
        <v>7.2499999999999995E-2</v>
      </c>
    </row>
    <row r="25" spans="2:12" x14ac:dyDescent="0.25">
      <c r="B25" t="s">
        <v>28</v>
      </c>
    </row>
    <row r="27" spans="2:12" x14ac:dyDescent="0.25">
      <c r="B27" t="s">
        <v>29</v>
      </c>
    </row>
    <row r="28" spans="2:12" x14ac:dyDescent="0.25">
      <c r="B28" t="s">
        <v>30</v>
      </c>
    </row>
    <row r="30" spans="2:12" x14ac:dyDescent="0.25">
      <c r="B30" s="43" t="s">
        <v>31</v>
      </c>
    </row>
    <row r="32" spans="2:12" x14ac:dyDescent="0.25">
      <c r="B32" t="s">
        <v>32</v>
      </c>
      <c r="D32" t="s">
        <v>33</v>
      </c>
    </row>
    <row r="33" spans="2:8" x14ac:dyDescent="0.25">
      <c r="B33">
        <v>2009</v>
      </c>
      <c r="D33" s="19">
        <v>-0.124</v>
      </c>
      <c r="F33" t="s">
        <v>34</v>
      </c>
      <c r="G33" s="20">
        <f>+AVERAGE(D33:D41)</f>
        <v>9.0333333333333321E-2</v>
      </c>
    </row>
    <row r="34" spans="2:8" x14ac:dyDescent="0.25">
      <c r="B34">
        <v>2010</v>
      </c>
      <c r="D34" s="19">
        <v>0.128</v>
      </c>
      <c r="F34" t="s">
        <v>35</v>
      </c>
      <c r="G34" s="3">
        <f>+_xlfn.STDEV.S(D33:D41)</f>
        <v>0.12939764294607534</v>
      </c>
      <c r="H34" t="s">
        <v>36</v>
      </c>
    </row>
    <row r="35" spans="2:8" x14ac:dyDescent="0.25">
      <c r="B35">
        <v>2011</v>
      </c>
      <c r="D35" s="19">
        <v>0.219</v>
      </c>
      <c r="F35" t="s">
        <v>62</v>
      </c>
      <c r="G35" s="51">
        <f>+G34/G33</f>
        <v>1.432446231875373</v>
      </c>
    </row>
    <row r="36" spans="2:8" x14ac:dyDescent="0.25">
      <c r="B36">
        <v>2012</v>
      </c>
      <c r="D36" s="19">
        <v>6.4000000000000001E-2</v>
      </c>
    </row>
    <row r="37" spans="2:8" x14ac:dyDescent="0.25">
      <c r="B37">
        <v>2013</v>
      </c>
      <c r="D37" s="19">
        <v>0.19600000000000001</v>
      </c>
    </row>
    <row r="38" spans="2:8" x14ac:dyDescent="0.25">
      <c r="B38">
        <v>2014</v>
      </c>
      <c r="D38" s="19">
        <v>0.157</v>
      </c>
    </row>
    <row r="39" spans="2:8" x14ac:dyDescent="0.25">
      <c r="B39">
        <v>2015</v>
      </c>
      <c r="D39" s="19">
        <v>0.115</v>
      </c>
    </row>
    <row r="40" spans="2:8" x14ac:dyDescent="0.25">
      <c r="B40">
        <v>2016</v>
      </c>
      <c r="D40" s="19">
        <v>-0.122</v>
      </c>
    </row>
    <row r="41" spans="2:8" x14ac:dyDescent="0.25">
      <c r="B41">
        <v>2017</v>
      </c>
      <c r="D41" s="19">
        <v>0.18</v>
      </c>
    </row>
    <row r="43" spans="2:8" x14ac:dyDescent="0.25">
      <c r="B43" t="s">
        <v>37</v>
      </c>
    </row>
    <row r="45" spans="2:8" x14ac:dyDescent="0.25">
      <c r="B45" s="43" t="s">
        <v>38</v>
      </c>
    </row>
    <row r="47" spans="2:8" x14ac:dyDescent="0.25">
      <c r="F47" t="s">
        <v>49</v>
      </c>
      <c r="G47" t="s">
        <v>50</v>
      </c>
    </row>
    <row r="48" spans="2:8" x14ac:dyDescent="0.25">
      <c r="C48" t="s">
        <v>51</v>
      </c>
      <c r="F48" s="21">
        <v>2</v>
      </c>
      <c r="G48" s="21">
        <v>2</v>
      </c>
    </row>
    <row r="49" spans="2:19" x14ac:dyDescent="0.25">
      <c r="C49" t="s">
        <v>52</v>
      </c>
      <c r="F49" s="21">
        <v>1.5</v>
      </c>
      <c r="G49" s="21">
        <v>1</v>
      </c>
    </row>
    <row r="50" spans="2:19" x14ac:dyDescent="0.25">
      <c r="C50" t="s">
        <v>55</v>
      </c>
      <c r="F50" s="22">
        <v>25000</v>
      </c>
      <c r="G50" s="22">
        <v>70000</v>
      </c>
    </row>
    <row r="51" spans="2:19" x14ac:dyDescent="0.25">
      <c r="C51" t="s">
        <v>53</v>
      </c>
      <c r="F51" s="22">
        <v>200000</v>
      </c>
      <c r="G51" s="22">
        <v>200000</v>
      </c>
    </row>
    <row r="52" spans="2:19" x14ac:dyDescent="0.25">
      <c r="C52" t="s">
        <v>54</v>
      </c>
      <c r="F52" s="5">
        <v>0.4</v>
      </c>
      <c r="G52" s="5">
        <v>0.4</v>
      </c>
    </row>
    <row r="57" spans="2:19" x14ac:dyDescent="0.25">
      <c r="F57" s="53" t="s">
        <v>49</v>
      </c>
      <c r="G57" s="53"/>
      <c r="H57" s="53"/>
      <c r="I57" s="53"/>
      <c r="J57" s="53" t="s">
        <v>50</v>
      </c>
      <c r="K57" s="53"/>
      <c r="L57" s="53"/>
      <c r="M57" s="53"/>
    </row>
    <row r="58" spans="2:19" x14ac:dyDescent="0.25">
      <c r="D58" t="s">
        <v>41</v>
      </c>
      <c r="E58" t="s">
        <v>43</v>
      </c>
      <c r="F58" t="s">
        <v>45</v>
      </c>
      <c r="J58" t="s">
        <v>45</v>
      </c>
    </row>
    <row r="59" spans="2:19" x14ac:dyDescent="0.25">
      <c r="B59" t="s">
        <v>39</v>
      </c>
      <c r="C59" t="s">
        <v>40</v>
      </c>
      <c r="D59" t="s">
        <v>42</v>
      </c>
      <c r="E59" t="s">
        <v>44</v>
      </c>
      <c r="F59" t="s">
        <v>46</v>
      </c>
      <c r="G59" t="s">
        <v>47</v>
      </c>
      <c r="H59" t="s">
        <v>48</v>
      </c>
      <c r="I59" t="s">
        <v>33</v>
      </c>
      <c r="J59" t="s">
        <v>46</v>
      </c>
      <c r="K59" t="s">
        <v>47</v>
      </c>
      <c r="L59" t="s">
        <v>48</v>
      </c>
      <c r="M59" t="s">
        <v>33</v>
      </c>
    </row>
    <row r="60" spans="2:19" x14ac:dyDescent="0.25">
      <c r="B60" t="s">
        <v>56</v>
      </c>
      <c r="C60" s="5">
        <v>0.05</v>
      </c>
      <c r="D60" s="24">
        <v>0</v>
      </c>
      <c r="E60" s="22">
        <f>+D60*$F$48</f>
        <v>0</v>
      </c>
      <c r="F60" s="28">
        <f>+$D60*$F$49+$F$50</f>
        <v>25000</v>
      </c>
      <c r="G60" s="28">
        <f>+E60-F60</f>
        <v>-25000</v>
      </c>
      <c r="H60" s="28">
        <f>+G60*(1-$F$52)</f>
        <v>-15000</v>
      </c>
      <c r="I60" s="3">
        <f>+H60/$F$51</f>
        <v>-7.4999999999999997E-2</v>
      </c>
      <c r="J60" s="28">
        <f>+$D60*$G$49+$G$50</f>
        <v>70000</v>
      </c>
      <c r="K60" s="28">
        <f>+E60-J60</f>
        <v>-70000</v>
      </c>
      <c r="L60" s="28">
        <f>+K60*(1-$G$52)</f>
        <v>-42000</v>
      </c>
      <c r="M60" s="3">
        <f>+L60/$G$51</f>
        <v>-0.21</v>
      </c>
      <c r="O60">
        <f>+(E60-$E$65)^2*$C60</f>
        <v>2000000000</v>
      </c>
      <c r="P60">
        <f>+(G60-$G$65)^2*$C60</f>
        <v>125000000</v>
      </c>
      <c r="Q60">
        <f>+(I60-$I$65)^2*$C60</f>
        <v>1.1249999999999999E-3</v>
      </c>
      <c r="R60">
        <f>+(K60-$K$65)^2*$C60</f>
        <v>500000000</v>
      </c>
      <c r="S60">
        <f>+(M60-$M$65)^2*$C60</f>
        <v>4.4999999999999997E-3</v>
      </c>
    </row>
    <row r="61" spans="2:19" x14ac:dyDescent="0.25">
      <c r="B61" t="s">
        <v>57</v>
      </c>
      <c r="C61" s="5">
        <v>0.2</v>
      </c>
      <c r="D61" s="24">
        <v>40000</v>
      </c>
      <c r="E61" s="22">
        <f t="shared" ref="E61:E64" si="3">+D61*$F$48</f>
        <v>80000</v>
      </c>
      <c r="F61" s="28">
        <f>+D61*$F$49+$F$50</f>
        <v>85000</v>
      </c>
      <c r="G61" s="28">
        <f t="shared" ref="G61:G64" si="4">+E61-F61</f>
        <v>-5000</v>
      </c>
      <c r="H61" s="28">
        <f t="shared" ref="H61:H64" si="5">+G61*(1-$F$52)</f>
        <v>-3000</v>
      </c>
      <c r="I61" s="3">
        <f t="shared" ref="I61:I64" si="6">+H61/$F$51</f>
        <v>-1.4999999999999999E-2</v>
      </c>
      <c r="J61" s="28">
        <f t="shared" ref="J61:J64" si="7">+$D61*$G$49+$G$50</f>
        <v>110000</v>
      </c>
      <c r="K61" s="28">
        <f t="shared" ref="K61:K64" si="8">+E61-J61</f>
        <v>-30000</v>
      </c>
      <c r="L61" s="28">
        <f t="shared" ref="L61:L64" si="9">+K61*(1-$G$52)</f>
        <v>-18000</v>
      </c>
      <c r="M61" s="3">
        <f t="shared" ref="M61:M64" si="10">+L61/$G$51</f>
        <v>-0.09</v>
      </c>
      <c r="O61">
        <f t="shared" ref="O61:O64" si="11">+(E61-$E$65)^2*$C61</f>
        <v>2880000000</v>
      </c>
      <c r="P61">
        <f>+(G61-$G$65)^2*C61</f>
        <v>180000000</v>
      </c>
      <c r="Q61">
        <f>+(I61-$I$65)^2*$C61</f>
        <v>1.6199999999999999E-3</v>
      </c>
      <c r="R61">
        <f>+(K61-$K$65)^2*C61</f>
        <v>720000000</v>
      </c>
      <c r="S61">
        <f>+(M61-$M$65)^2*$C61</f>
        <v>6.4799999999999996E-3</v>
      </c>
    </row>
    <row r="62" spans="2:19" x14ac:dyDescent="0.25">
      <c r="B62" t="s">
        <v>58</v>
      </c>
      <c r="C62" s="5">
        <v>0.5</v>
      </c>
      <c r="D62" s="24">
        <v>100000</v>
      </c>
      <c r="E62" s="22">
        <f t="shared" si="3"/>
        <v>200000</v>
      </c>
      <c r="F62" s="28">
        <f t="shared" ref="F61:F64" si="12">+D62*$F$49+$F$50</f>
        <v>175000</v>
      </c>
      <c r="G62" s="28">
        <f t="shared" si="4"/>
        <v>25000</v>
      </c>
      <c r="H62" s="28">
        <f t="shared" si="5"/>
        <v>15000</v>
      </c>
      <c r="I62" s="3">
        <f t="shared" si="6"/>
        <v>7.4999999999999997E-2</v>
      </c>
      <c r="J62" s="28">
        <f t="shared" si="7"/>
        <v>170000</v>
      </c>
      <c r="K62" s="28">
        <f t="shared" si="8"/>
        <v>30000</v>
      </c>
      <c r="L62" s="28">
        <f t="shared" si="9"/>
        <v>18000</v>
      </c>
      <c r="M62" s="3">
        <f t="shared" si="10"/>
        <v>0.09</v>
      </c>
      <c r="O62">
        <f t="shared" si="11"/>
        <v>0</v>
      </c>
      <c r="P62">
        <f>+(G62-$G$65)^2*C62</f>
        <v>0</v>
      </c>
      <c r="Q62">
        <f>+(I62-$I$65)^2*$C62</f>
        <v>0</v>
      </c>
      <c r="R62">
        <f>+(K62-$K$65)^2*C62</f>
        <v>0</v>
      </c>
      <c r="S62">
        <f>+(M62-$M$65)^2*$C62</f>
        <v>9.6296497219361793E-35</v>
      </c>
    </row>
    <row r="63" spans="2:19" x14ac:dyDescent="0.25">
      <c r="B63" t="s">
        <v>59</v>
      </c>
      <c r="C63" s="5">
        <v>0.2</v>
      </c>
      <c r="D63" s="24">
        <v>160000</v>
      </c>
      <c r="E63" s="22">
        <f t="shared" si="3"/>
        <v>320000</v>
      </c>
      <c r="F63" s="28">
        <f t="shared" si="12"/>
        <v>265000</v>
      </c>
      <c r="G63" s="28">
        <f t="shared" si="4"/>
        <v>55000</v>
      </c>
      <c r="H63" s="28">
        <f t="shared" si="5"/>
        <v>33000</v>
      </c>
      <c r="I63" s="3">
        <f t="shared" si="6"/>
        <v>0.16500000000000001</v>
      </c>
      <c r="J63" s="28">
        <f t="shared" si="7"/>
        <v>230000</v>
      </c>
      <c r="K63" s="28">
        <f t="shared" si="8"/>
        <v>90000</v>
      </c>
      <c r="L63" s="28">
        <f t="shared" si="9"/>
        <v>54000</v>
      </c>
      <c r="M63" s="3">
        <f t="shared" si="10"/>
        <v>0.27</v>
      </c>
      <c r="O63">
        <f t="shared" si="11"/>
        <v>2880000000</v>
      </c>
      <c r="P63">
        <f>+(G63-$G$65)^2*C63</f>
        <v>180000000</v>
      </c>
      <c r="Q63">
        <f>+(I63-$I$65)^2*$C63</f>
        <v>1.6200000000000003E-3</v>
      </c>
      <c r="R63">
        <f>+(K63-$K$65)^2*C63</f>
        <v>720000000</v>
      </c>
      <c r="S63">
        <f>+(M63-$M$65)^2*$C63</f>
        <v>6.4799999999999996E-3</v>
      </c>
    </row>
    <row r="64" spans="2:19" ht="15.75" thickBot="1" x14ac:dyDescent="0.3">
      <c r="B64" t="s">
        <v>60</v>
      </c>
      <c r="C64" s="25">
        <v>0.05</v>
      </c>
      <c r="D64" s="26">
        <v>200000</v>
      </c>
      <c r="E64" s="27">
        <f t="shared" si="3"/>
        <v>400000</v>
      </c>
      <c r="F64" s="29">
        <f t="shared" si="12"/>
        <v>325000</v>
      </c>
      <c r="G64" s="29">
        <f t="shared" si="4"/>
        <v>75000</v>
      </c>
      <c r="H64" s="29">
        <f t="shared" si="5"/>
        <v>45000</v>
      </c>
      <c r="I64" s="30">
        <f t="shared" si="6"/>
        <v>0.22500000000000001</v>
      </c>
      <c r="J64" s="29">
        <f t="shared" si="7"/>
        <v>270000</v>
      </c>
      <c r="K64" s="29">
        <f t="shared" si="8"/>
        <v>130000</v>
      </c>
      <c r="L64" s="29">
        <f t="shared" si="9"/>
        <v>78000</v>
      </c>
      <c r="M64" s="30">
        <f t="shared" si="10"/>
        <v>0.39</v>
      </c>
      <c r="O64">
        <f t="shared" si="11"/>
        <v>2000000000</v>
      </c>
      <c r="P64">
        <f>+(G64-$G$65)^2*C64</f>
        <v>125000000</v>
      </c>
      <c r="Q64">
        <f>+(I64-$I$65)^2*$C64</f>
        <v>1.1250000000000003E-3</v>
      </c>
      <c r="R64">
        <f>+(K64-$K$65)^2*C64</f>
        <v>500000000</v>
      </c>
      <c r="S64">
        <f>+(M64-$M$65)^2*$C64</f>
        <v>4.4999999999999997E-3</v>
      </c>
    </row>
    <row r="65" spans="2:13" x14ac:dyDescent="0.25">
      <c r="B65" t="s">
        <v>34</v>
      </c>
      <c r="C65" s="5"/>
      <c r="D65" s="24">
        <f t="shared" ref="D65:I65" si="13">+SUMPRODUCT($C$60:$C$64,D60:D64)</f>
        <v>100000</v>
      </c>
      <c r="E65" s="22">
        <f t="shared" si="13"/>
        <v>200000</v>
      </c>
      <c r="F65" s="22">
        <f t="shared" si="13"/>
        <v>175000</v>
      </c>
      <c r="G65" s="22">
        <f t="shared" si="13"/>
        <v>25000</v>
      </c>
      <c r="H65" s="22">
        <f t="shared" si="13"/>
        <v>15000</v>
      </c>
      <c r="I65" s="33">
        <f t="shared" si="13"/>
        <v>7.4999999999999997E-2</v>
      </c>
      <c r="J65" s="22">
        <f t="shared" ref="J65:M65" si="14">+SUMPRODUCT($C$60:$C$64,J60:J64)</f>
        <v>170000</v>
      </c>
      <c r="K65" s="22">
        <f t="shared" si="14"/>
        <v>30000</v>
      </c>
      <c r="L65" s="22">
        <f t="shared" si="14"/>
        <v>18000</v>
      </c>
      <c r="M65" s="33">
        <f t="shared" si="14"/>
        <v>9.0000000000000011E-2</v>
      </c>
    </row>
    <row r="66" spans="2:13" x14ac:dyDescent="0.25">
      <c r="B66" t="s">
        <v>61</v>
      </c>
      <c r="E66" s="22">
        <f>+SUM(O60:O64)^0.5</f>
        <v>98792.712281827757</v>
      </c>
      <c r="G66" s="22">
        <f>+SUM(P60:P64)^0.5</f>
        <v>24698.178070456939</v>
      </c>
      <c r="I66" s="34">
        <f>+SUM(Q60:Q64)^0.5</f>
        <v>7.4094534211370827E-2</v>
      </c>
      <c r="K66" s="22">
        <f>+SUM(R60:R64)^0.5</f>
        <v>49396.356140913878</v>
      </c>
      <c r="M66" s="34">
        <f>+SUM(S60:S64)^0.5</f>
        <v>0.14818906842274163</v>
      </c>
    </row>
    <row r="67" spans="2:13" x14ac:dyDescent="0.25">
      <c r="B67" t="s">
        <v>62</v>
      </c>
      <c r="E67" s="23">
        <f>+E66/E65</f>
        <v>0.49396356140913877</v>
      </c>
      <c r="G67" s="23">
        <f>+G66/G65</f>
        <v>0.98792712281827755</v>
      </c>
      <c r="I67" s="35">
        <f>+I66/I65</f>
        <v>0.98792712281827777</v>
      </c>
      <c r="K67" s="23">
        <f>+K66/K65</f>
        <v>1.6465452046971292</v>
      </c>
      <c r="M67" s="35">
        <f>+M66/M65</f>
        <v>1.646545204697129</v>
      </c>
    </row>
    <row r="69" spans="2:13" ht="15.75" thickBot="1" x14ac:dyDescent="0.3">
      <c r="B69" t="s">
        <v>63</v>
      </c>
      <c r="D69" s="31" t="s">
        <v>64</v>
      </c>
      <c r="F69" s="27">
        <v>25000</v>
      </c>
      <c r="G69" s="24">
        <f>+F69/F70</f>
        <v>50000</v>
      </c>
      <c r="H69" s="4" t="s">
        <v>66</v>
      </c>
      <c r="J69" s="27">
        <v>70000</v>
      </c>
      <c r="K69" s="24">
        <f>+J69/J70</f>
        <v>70000</v>
      </c>
      <c r="L69" s="4" t="s">
        <v>66</v>
      </c>
    </row>
    <row r="70" spans="2:13" x14ac:dyDescent="0.25">
      <c r="D70" s="4" t="s">
        <v>65</v>
      </c>
      <c r="F70" s="32">
        <f>+F48-F49</f>
        <v>0.5</v>
      </c>
      <c r="J70" s="32">
        <f>+G48-G49</f>
        <v>1</v>
      </c>
    </row>
    <row r="72" spans="2:13" x14ac:dyDescent="0.25">
      <c r="B72" s="43" t="s">
        <v>67</v>
      </c>
    </row>
    <row r="74" spans="2:13" x14ac:dyDescent="0.25">
      <c r="B74" t="s">
        <v>68</v>
      </c>
      <c r="D74" t="s">
        <v>70</v>
      </c>
      <c r="G74" t="s">
        <v>69</v>
      </c>
    </row>
    <row r="76" spans="2:13" x14ac:dyDescent="0.25">
      <c r="B76" s="22">
        <v>20000</v>
      </c>
      <c r="D76" s="2">
        <f>+B76/200000</f>
        <v>0.1</v>
      </c>
      <c r="G76" s="19">
        <v>0.04</v>
      </c>
    </row>
    <row r="77" spans="2:13" x14ac:dyDescent="0.25">
      <c r="B77" s="22">
        <f>+B76+20000</f>
        <v>40000</v>
      </c>
      <c r="D77" s="2">
        <f t="shared" ref="D77:D81" si="15">+B77/200000</f>
        <v>0.2</v>
      </c>
      <c r="G77" s="19">
        <v>4.2999999999999997E-2</v>
      </c>
    </row>
    <row r="78" spans="2:13" x14ac:dyDescent="0.25">
      <c r="B78" s="22">
        <f t="shared" ref="B78:B81" si="16">+B77+20000</f>
        <v>60000</v>
      </c>
      <c r="D78" s="2">
        <f t="shared" si="15"/>
        <v>0.3</v>
      </c>
      <c r="G78" s="19">
        <v>0.05</v>
      </c>
    </row>
    <row r="79" spans="2:13" x14ac:dyDescent="0.25">
      <c r="B79" s="22">
        <f t="shared" si="16"/>
        <v>80000</v>
      </c>
      <c r="D79" s="2">
        <f t="shared" si="15"/>
        <v>0.4</v>
      </c>
      <c r="G79" s="19">
        <v>5.8000000000000003E-2</v>
      </c>
    </row>
    <row r="80" spans="2:13" x14ac:dyDescent="0.25">
      <c r="B80" s="22">
        <f t="shared" si="16"/>
        <v>100000</v>
      </c>
      <c r="D80" s="2">
        <f t="shared" si="15"/>
        <v>0.5</v>
      </c>
      <c r="G80" s="19">
        <v>7.1999999999999995E-2</v>
      </c>
    </row>
    <row r="81" spans="2:7" x14ac:dyDescent="0.25">
      <c r="B81" s="22">
        <f t="shared" si="16"/>
        <v>120000</v>
      </c>
      <c r="D81" s="2">
        <f t="shared" si="15"/>
        <v>0.6</v>
      </c>
      <c r="G81" s="19">
        <v>0.1</v>
      </c>
    </row>
    <row r="83" spans="2:7" x14ac:dyDescent="0.25">
      <c r="B83" t="s">
        <v>71</v>
      </c>
    </row>
    <row r="85" spans="2:7" x14ac:dyDescent="0.25">
      <c r="B85" t="s">
        <v>124</v>
      </c>
    </row>
    <row r="86" spans="2:7" x14ac:dyDescent="0.25">
      <c r="B86" t="s">
        <v>72</v>
      </c>
    </row>
    <row r="87" spans="2:7" x14ac:dyDescent="0.25">
      <c r="B87" t="s">
        <v>73</v>
      </c>
    </row>
    <row r="89" spans="2:7" x14ac:dyDescent="0.25">
      <c r="B89" t="s">
        <v>74</v>
      </c>
    </row>
    <row r="91" spans="2:7" x14ac:dyDescent="0.25">
      <c r="B91" t="s">
        <v>75</v>
      </c>
      <c r="D91" s="5">
        <v>0</v>
      </c>
    </row>
    <row r="92" spans="2:7" x14ac:dyDescent="0.25">
      <c r="B92" t="s">
        <v>76</v>
      </c>
      <c r="D92" s="5">
        <v>0.4</v>
      </c>
    </row>
    <row r="93" spans="2:7" x14ac:dyDescent="0.25">
      <c r="B93" t="s">
        <v>53</v>
      </c>
      <c r="D93" s="22">
        <v>200000</v>
      </c>
    </row>
    <row r="94" spans="2:7" x14ac:dyDescent="0.25">
      <c r="B94" t="s">
        <v>77</v>
      </c>
      <c r="D94" s="22">
        <v>0</v>
      </c>
    </row>
    <row r="95" spans="2:7" x14ac:dyDescent="0.25">
      <c r="B95" t="s">
        <v>78</v>
      </c>
      <c r="D95" s="22">
        <v>200000</v>
      </c>
    </row>
    <row r="96" spans="2:7" x14ac:dyDescent="0.25">
      <c r="B96" t="s">
        <v>79</v>
      </c>
      <c r="D96" s="24">
        <v>10000</v>
      </c>
    </row>
    <row r="97" spans="2:16" x14ac:dyDescent="0.25">
      <c r="D97" s="24"/>
    </row>
    <row r="98" spans="2:16" x14ac:dyDescent="0.25">
      <c r="C98" s="4"/>
      <c r="D98" s="4"/>
      <c r="E98" s="4"/>
      <c r="F98" s="53" t="s">
        <v>50</v>
      </c>
      <c r="G98" s="53"/>
      <c r="H98" s="53"/>
      <c r="I98" s="53"/>
      <c r="J98" s="4"/>
      <c r="K98" s="4"/>
      <c r="L98" s="4"/>
      <c r="M98" s="4"/>
    </row>
    <row r="99" spans="2:16" x14ac:dyDescent="0.25">
      <c r="C99" s="4"/>
      <c r="D99" s="4" t="s">
        <v>41</v>
      </c>
      <c r="E99" s="4" t="s">
        <v>43</v>
      </c>
      <c r="F99" s="4" t="s">
        <v>45</v>
      </c>
      <c r="G99" s="4"/>
      <c r="H99" s="4"/>
      <c r="I99" s="4"/>
      <c r="J99" s="4"/>
      <c r="K99" s="4" t="s">
        <v>81</v>
      </c>
      <c r="L99" s="4"/>
      <c r="M99" s="4"/>
    </row>
    <row r="100" spans="2:16" x14ac:dyDescent="0.25">
      <c r="B100" t="s">
        <v>39</v>
      </c>
      <c r="C100" s="4" t="s">
        <v>40</v>
      </c>
      <c r="D100" s="4" t="s">
        <v>42</v>
      </c>
      <c r="E100" s="4" t="s">
        <v>44</v>
      </c>
      <c r="F100" s="4" t="s">
        <v>46</v>
      </c>
      <c r="G100" s="4" t="s">
        <v>47</v>
      </c>
      <c r="H100" s="4" t="s">
        <v>48</v>
      </c>
      <c r="I100" s="4" t="s">
        <v>33</v>
      </c>
      <c r="J100" s="4" t="s">
        <v>80</v>
      </c>
      <c r="K100" s="4" t="s">
        <v>82</v>
      </c>
      <c r="L100" s="4" t="s">
        <v>83</v>
      </c>
      <c r="M100" s="4" t="s">
        <v>84</v>
      </c>
    </row>
    <row r="101" spans="2:16" x14ac:dyDescent="0.25">
      <c r="B101" t="s">
        <v>56</v>
      </c>
      <c r="C101" s="5">
        <v>0.05</v>
      </c>
      <c r="D101" s="24">
        <v>0</v>
      </c>
      <c r="E101" s="22">
        <f>+D101*$F$48</f>
        <v>0</v>
      </c>
      <c r="F101" s="28">
        <f>+$D101*$G$49+$G$50</f>
        <v>70000</v>
      </c>
      <c r="G101" s="28">
        <f>+E101-F101</f>
        <v>-70000</v>
      </c>
      <c r="H101" s="28">
        <f>+G101*(1-$G$52)</f>
        <v>-42000</v>
      </c>
      <c r="I101" s="3">
        <f>+H101/$D$93</f>
        <v>-0.21</v>
      </c>
      <c r="J101" s="28">
        <v>0</v>
      </c>
      <c r="K101" s="28">
        <f>+(G101-J101)*(1-$D$92)</f>
        <v>-42000</v>
      </c>
      <c r="L101" s="17">
        <f>+K101/$D$95</f>
        <v>-0.21</v>
      </c>
      <c r="M101" s="21">
        <f>+K101/$D$96</f>
        <v>-4.2</v>
      </c>
      <c r="O101">
        <f>+(L101-L$106)^2*$C101</f>
        <v>4.4999999999999997E-3</v>
      </c>
      <c r="P101">
        <f t="shared" ref="P101:P105" si="17">+(M101-M$106)^2*$C101</f>
        <v>1.8</v>
      </c>
    </row>
    <row r="102" spans="2:16" x14ac:dyDescent="0.25">
      <c r="B102" t="s">
        <v>57</v>
      </c>
      <c r="C102" s="5">
        <v>0.2</v>
      </c>
      <c r="D102" s="24">
        <v>40000</v>
      </c>
      <c r="E102" s="22">
        <f t="shared" ref="E102:E105" si="18">+D102*$F$48</f>
        <v>80000</v>
      </c>
      <c r="F102" s="28">
        <f t="shared" ref="F102:F105" si="19">+$D102*$G$49+$G$50</f>
        <v>110000</v>
      </c>
      <c r="G102" s="28">
        <f t="shared" ref="G102:G105" si="20">+E102-F102</f>
        <v>-30000</v>
      </c>
      <c r="H102" s="28">
        <f t="shared" ref="H102:H105" si="21">+G102*(1-$G$52)</f>
        <v>-18000</v>
      </c>
      <c r="I102" s="3">
        <f t="shared" ref="I102:I105" si="22">+H102/$D$93</f>
        <v>-0.09</v>
      </c>
      <c r="J102" s="28">
        <v>0</v>
      </c>
      <c r="K102" s="28">
        <f t="shared" ref="K102:K105" si="23">+(G102-J102)*(1-$D$92)</f>
        <v>-18000</v>
      </c>
      <c r="L102" s="17">
        <f t="shared" ref="L102:L105" si="24">+K102/$D$95</f>
        <v>-0.09</v>
      </c>
      <c r="M102" s="21">
        <f t="shared" ref="M102:M105" si="25">+K102/$D$96</f>
        <v>-1.8</v>
      </c>
      <c r="O102">
        <f t="shared" ref="O102:O105" si="26">+(L102-L$106)^2*$C102</f>
        <v>6.4799999999999996E-3</v>
      </c>
      <c r="P102">
        <f t="shared" si="17"/>
        <v>2.592000000000001</v>
      </c>
    </row>
    <row r="103" spans="2:16" x14ac:dyDescent="0.25">
      <c r="B103" t="s">
        <v>58</v>
      </c>
      <c r="C103" s="5">
        <v>0.5</v>
      </c>
      <c r="D103" s="24">
        <v>100000</v>
      </c>
      <c r="E103" s="22">
        <f t="shared" si="18"/>
        <v>200000</v>
      </c>
      <c r="F103" s="28">
        <f t="shared" si="19"/>
        <v>170000</v>
      </c>
      <c r="G103" s="28">
        <f t="shared" si="20"/>
        <v>30000</v>
      </c>
      <c r="H103" s="28">
        <f t="shared" si="21"/>
        <v>18000</v>
      </c>
      <c r="I103" s="3">
        <f t="shared" si="22"/>
        <v>0.09</v>
      </c>
      <c r="J103" s="28">
        <v>0</v>
      </c>
      <c r="K103" s="28">
        <f t="shared" si="23"/>
        <v>18000</v>
      </c>
      <c r="L103" s="17">
        <f t="shared" si="24"/>
        <v>0.09</v>
      </c>
      <c r="M103" s="21">
        <f t="shared" si="25"/>
        <v>1.8</v>
      </c>
      <c r="O103">
        <f t="shared" si="26"/>
        <v>9.6296497219361793E-35</v>
      </c>
      <c r="P103">
        <f t="shared" si="17"/>
        <v>2.4651903288156619E-32</v>
      </c>
    </row>
    <row r="104" spans="2:16" x14ac:dyDescent="0.25">
      <c r="B104" t="s">
        <v>59</v>
      </c>
      <c r="C104" s="5">
        <v>0.2</v>
      </c>
      <c r="D104" s="24">
        <v>160000</v>
      </c>
      <c r="E104" s="22">
        <f t="shared" si="18"/>
        <v>320000</v>
      </c>
      <c r="F104" s="28">
        <f t="shared" si="19"/>
        <v>230000</v>
      </c>
      <c r="G104" s="28">
        <f t="shared" si="20"/>
        <v>90000</v>
      </c>
      <c r="H104" s="28">
        <f t="shared" si="21"/>
        <v>54000</v>
      </c>
      <c r="I104" s="3">
        <f t="shared" si="22"/>
        <v>0.27</v>
      </c>
      <c r="J104" s="28">
        <v>0</v>
      </c>
      <c r="K104" s="28">
        <f t="shared" si="23"/>
        <v>54000</v>
      </c>
      <c r="L104" s="17">
        <f t="shared" si="24"/>
        <v>0.27</v>
      </c>
      <c r="M104" s="21">
        <f t="shared" si="25"/>
        <v>5.4</v>
      </c>
      <c r="O104">
        <f t="shared" si="26"/>
        <v>6.4799999999999996E-3</v>
      </c>
      <c r="P104">
        <f t="shared" si="17"/>
        <v>2.5920000000000005</v>
      </c>
    </row>
    <row r="105" spans="2:16" ht="15.75" thickBot="1" x14ac:dyDescent="0.3">
      <c r="B105" t="s">
        <v>60</v>
      </c>
      <c r="C105" s="25">
        <v>0.05</v>
      </c>
      <c r="D105" s="26">
        <v>200000</v>
      </c>
      <c r="E105" s="27">
        <f t="shared" si="18"/>
        <v>400000</v>
      </c>
      <c r="F105" s="29">
        <f t="shared" si="19"/>
        <v>270000</v>
      </c>
      <c r="G105" s="29">
        <f t="shared" si="20"/>
        <v>130000</v>
      </c>
      <c r="H105" s="29">
        <f t="shared" si="21"/>
        <v>78000</v>
      </c>
      <c r="I105" s="30">
        <f t="shared" si="22"/>
        <v>0.39</v>
      </c>
      <c r="J105" s="29">
        <v>0</v>
      </c>
      <c r="K105" s="29">
        <f t="shared" si="23"/>
        <v>78000</v>
      </c>
      <c r="L105" s="36">
        <f t="shared" si="24"/>
        <v>0.39</v>
      </c>
      <c r="M105" s="37">
        <f t="shared" si="25"/>
        <v>7.8</v>
      </c>
      <c r="O105">
        <f t="shared" si="26"/>
        <v>4.4999999999999997E-3</v>
      </c>
      <c r="P105">
        <f t="shared" si="17"/>
        <v>1.8</v>
      </c>
    </row>
    <row r="106" spans="2:16" x14ac:dyDescent="0.25">
      <c r="B106" t="s">
        <v>34</v>
      </c>
      <c r="C106" s="5"/>
      <c r="D106" s="24">
        <f>+SUMPRODUCT($C$60:$C$64,D101:D105)</f>
        <v>100000</v>
      </c>
      <c r="E106" s="22">
        <f>+SUMPRODUCT($C$60:$C$64,E101:E105)</f>
        <v>200000</v>
      </c>
      <c r="F106" s="22">
        <f t="shared" ref="F106" si="27">+SUMPRODUCT($C$60:$C$64,F101:F105)</f>
        <v>170000</v>
      </c>
      <c r="G106" s="22">
        <f t="shared" ref="G106" si="28">+SUMPRODUCT($C$60:$C$64,G101:G105)</f>
        <v>30000</v>
      </c>
      <c r="H106" s="22">
        <f>+SUMPRODUCT($C101:$C105,H101:H105)</f>
        <v>18000</v>
      </c>
      <c r="I106" s="39">
        <f>+SUMPRODUCT(C101:C105,I101:I105)</f>
        <v>9.0000000000000011E-2</v>
      </c>
      <c r="J106" s="28">
        <v>0</v>
      </c>
      <c r="K106" s="22">
        <f>+SUMPRODUCT($C101:$C105,K101:K105)</f>
        <v>18000</v>
      </c>
      <c r="L106" s="40">
        <f t="shared" ref="L106:M106" si="29">+SUMPRODUCT($C101:$C105,L101:L105)</f>
        <v>9.0000000000000011E-2</v>
      </c>
      <c r="M106" s="41">
        <f t="shared" si="29"/>
        <v>1.8000000000000003</v>
      </c>
    </row>
    <row r="107" spans="2:16" x14ac:dyDescent="0.25">
      <c r="B107" t="s">
        <v>61</v>
      </c>
      <c r="E107" s="22"/>
      <c r="G107" s="22"/>
      <c r="L107" s="40">
        <f>+SUM(O101:O105)^0.5</f>
        <v>0.14818906842274163</v>
      </c>
      <c r="M107" s="41">
        <f>+SUM(P101:P105)^0.5</f>
        <v>2.9637813684548329</v>
      </c>
    </row>
    <row r="108" spans="2:16" x14ac:dyDescent="0.25">
      <c r="B108" t="s">
        <v>62</v>
      </c>
      <c r="E108" s="23"/>
      <c r="G108" s="23"/>
      <c r="L108" s="42">
        <f>+L107/L106</f>
        <v>1.646545204697129</v>
      </c>
      <c r="M108" s="42">
        <f>+M107/M106</f>
        <v>1.6465452046971292</v>
      </c>
    </row>
    <row r="111" spans="2:16" x14ac:dyDescent="0.25">
      <c r="B111" t="s">
        <v>85</v>
      </c>
    </row>
    <row r="113" spans="2:16" x14ac:dyDescent="0.25">
      <c r="B113" t="s">
        <v>75</v>
      </c>
      <c r="D113" s="5">
        <v>0.5</v>
      </c>
    </row>
    <row r="114" spans="2:16" x14ac:dyDescent="0.25">
      <c r="B114" t="s">
        <v>76</v>
      </c>
      <c r="D114" s="5">
        <v>0.4</v>
      </c>
    </row>
    <row r="115" spans="2:16" x14ac:dyDescent="0.25">
      <c r="B115" t="s">
        <v>53</v>
      </c>
      <c r="D115" s="22">
        <v>100000</v>
      </c>
    </row>
    <row r="116" spans="2:16" x14ac:dyDescent="0.25">
      <c r="B116" t="s">
        <v>77</v>
      </c>
      <c r="D116" s="22">
        <v>100000</v>
      </c>
    </row>
    <row r="117" spans="2:16" x14ac:dyDescent="0.25">
      <c r="B117" t="s">
        <v>86</v>
      </c>
      <c r="D117" s="20">
        <v>7.1999999999999995E-2</v>
      </c>
    </row>
    <row r="118" spans="2:16" x14ac:dyDescent="0.25">
      <c r="B118" t="s">
        <v>78</v>
      </c>
      <c r="D118" s="22">
        <v>100000</v>
      </c>
    </row>
    <row r="119" spans="2:16" x14ac:dyDescent="0.25">
      <c r="B119" t="s">
        <v>79</v>
      </c>
      <c r="D119" s="24">
        <v>5000</v>
      </c>
    </row>
    <row r="120" spans="2:16" x14ac:dyDescent="0.25">
      <c r="D120" s="24"/>
    </row>
    <row r="121" spans="2:16" x14ac:dyDescent="0.25">
      <c r="C121" s="4"/>
      <c r="D121" s="4"/>
      <c r="E121" s="4"/>
      <c r="F121" s="53" t="s">
        <v>50</v>
      </c>
      <c r="G121" s="53"/>
      <c r="H121" s="53"/>
      <c r="I121" s="53"/>
      <c r="J121" s="4"/>
      <c r="K121" s="4"/>
      <c r="L121" s="4"/>
      <c r="M121" s="4"/>
    </row>
    <row r="122" spans="2:16" x14ac:dyDescent="0.25">
      <c r="C122" s="4"/>
      <c r="D122" s="4" t="s">
        <v>41</v>
      </c>
      <c r="E122" s="4" t="s">
        <v>43</v>
      </c>
      <c r="F122" s="4" t="s">
        <v>45</v>
      </c>
      <c r="G122" s="4"/>
      <c r="H122" s="4"/>
      <c r="I122" s="4"/>
      <c r="J122" s="4"/>
      <c r="K122" s="4" t="s">
        <v>81</v>
      </c>
      <c r="L122" s="4"/>
      <c r="M122" s="4"/>
    </row>
    <row r="123" spans="2:16" x14ac:dyDescent="0.25">
      <c r="B123" t="s">
        <v>39</v>
      </c>
      <c r="C123" s="4" t="s">
        <v>40</v>
      </c>
      <c r="D123" s="4" t="s">
        <v>42</v>
      </c>
      <c r="E123" s="4" t="s">
        <v>44</v>
      </c>
      <c r="F123" s="4" t="s">
        <v>46</v>
      </c>
      <c r="G123" s="4" t="s">
        <v>47</v>
      </c>
      <c r="H123" s="4" t="s">
        <v>48</v>
      </c>
      <c r="I123" s="4" t="s">
        <v>33</v>
      </c>
      <c r="J123" s="4" t="s">
        <v>80</v>
      </c>
      <c r="K123" s="4" t="s">
        <v>82</v>
      </c>
      <c r="L123" s="4" t="s">
        <v>83</v>
      </c>
      <c r="M123" s="4" t="s">
        <v>84</v>
      </c>
    </row>
    <row r="124" spans="2:16" x14ac:dyDescent="0.25">
      <c r="B124" t="s">
        <v>56</v>
      </c>
      <c r="C124" s="5">
        <v>0.05</v>
      </c>
      <c r="D124" s="24">
        <v>0</v>
      </c>
      <c r="E124" s="22">
        <f>+E101</f>
        <v>0</v>
      </c>
      <c r="F124" s="28">
        <f>+F101</f>
        <v>70000</v>
      </c>
      <c r="G124" s="28">
        <f>+E124-F124</f>
        <v>-70000</v>
      </c>
      <c r="H124" s="28">
        <f>+G124*(1-$D$114)</f>
        <v>-42000</v>
      </c>
      <c r="I124" s="3">
        <f>+H124/($D$115+$D$116)</f>
        <v>-0.21</v>
      </c>
      <c r="J124" s="28">
        <f>+$D$116*$D$117</f>
        <v>7199.9999999999991</v>
      </c>
      <c r="K124" s="28">
        <f>+(G124-J124)*(1-$D$114)</f>
        <v>-46320</v>
      </c>
      <c r="L124" s="17">
        <f>+K124/$D$118</f>
        <v>-0.4632</v>
      </c>
      <c r="M124" s="21">
        <f>+K124/$D$119</f>
        <v>-9.2639999999999993</v>
      </c>
      <c r="O124">
        <f t="shared" ref="O124:P128" si="30">+(L124-L$129)^2*$C124</f>
        <v>1.7999999999999999E-2</v>
      </c>
      <c r="P124">
        <f t="shared" si="30"/>
        <v>7.2</v>
      </c>
    </row>
    <row r="125" spans="2:16" x14ac:dyDescent="0.25">
      <c r="B125" t="s">
        <v>57</v>
      </c>
      <c r="C125" s="5">
        <v>0.2</v>
      </c>
      <c r="D125" s="24">
        <v>40000</v>
      </c>
      <c r="E125" s="22">
        <f t="shared" ref="E125:F128" si="31">+E102</f>
        <v>80000</v>
      </c>
      <c r="F125" s="28">
        <f t="shared" si="31"/>
        <v>110000</v>
      </c>
      <c r="G125" s="28">
        <f>+E125-F125</f>
        <v>-30000</v>
      </c>
      <c r="H125" s="28">
        <f t="shared" ref="H125:H128" si="32">+G125*(1-$D$114)</f>
        <v>-18000</v>
      </c>
      <c r="I125" s="3">
        <f t="shared" ref="I125:I128" si="33">+H125/($D$115+$D$116)</f>
        <v>-0.09</v>
      </c>
      <c r="J125" s="28">
        <f t="shared" ref="J125:J129" si="34">+$D$116*$D$117</f>
        <v>7199.9999999999991</v>
      </c>
      <c r="K125" s="28">
        <f>+(G125-J125)*(1-$D$114)</f>
        <v>-22320</v>
      </c>
      <c r="L125" s="17">
        <f>+K125/$D$118</f>
        <v>-0.22320000000000001</v>
      </c>
      <c r="M125" s="21">
        <f>+K125/$D$119</f>
        <v>-4.4640000000000004</v>
      </c>
      <c r="O125">
        <f t="shared" si="30"/>
        <v>2.5919999999999999E-2</v>
      </c>
      <c r="P125">
        <f t="shared" si="30"/>
        <v>10.368000000000004</v>
      </c>
    </row>
    <row r="126" spans="2:16" x14ac:dyDescent="0.25">
      <c r="B126" t="s">
        <v>58</v>
      </c>
      <c r="C126" s="5">
        <v>0.5</v>
      </c>
      <c r="D126" s="24">
        <v>100000</v>
      </c>
      <c r="E126" s="22">
        <f t="shared" si="31"/>
        <v>200000</v>
      </c>
      <c r="F126" s="28">
        <f t="shared" si="31"/>
        <v>170000</v>
      </c>
      <c r="G126" s="28">
        <f>+E126-F126</f>
        <v>30000</v>
      </c>
      <c r="H126" s="28">
        <f t="shared" si="32"/>
        <v>18000</v>
      </c>
      <c r="I126" s="3">
        <f t="shared" si="33"/>
        <v>0.09</v>
      </c>
      <c r="J126" s="28">
        <f t="shared" si="34"/>
        <v>7199.9999999999991</v>
      </c>
      <c r="K126" s="28">
        <f>+(G126-J126)*(1-$D$114)</f>
        <v>13680</v>
      </c>
      <c r="L126" s="17">
        <f>+K126/$D$118</f>
        <v>0.1368</v>
      </c>
      <c r="M126" s="21">
        <f>+K126/$D$119</f>
        <v>2.7360000000000002</v>
      </c>
      <c r="O126">
        <f t="shared" si="30"/>
        <v>0</v>
      </c>
      <c r="P126">
        <f t="shared" si="30"/>
        <v>0</v>
      </c>
    </row>
    <row r="127" spans="2:16" x14ac:dyDescent="0.25">
      <c r="B127" t="s">
        <v>59</v>
      </c>
      <c r="C127" s="5">
        <v>0.2</v>
      </c>
      <c r="D127" s="24">
        <v>160000</v>
      </c>
      <c r="E127" s="22">
        <f t="shared" si="31"/>
        <v>320000</v>
      </c>
      <c r="F127" s="28">
        <f t="shared" si="31"/>
        <v>230000</v>
      </c>
      <c r="G127" s="28">
        <f>+E127-F127</f>
        <v>90000</v>
      </c>
      <c r="H127" s="28">
        <f t="shared" si="32"/>
        <v>54000</v>
      </c>
      <c r="I127" s="3">
        <f t="shared" si="33"/>
        <v>0.27</v>
      </c>
      <c r="J127" s="28">
        <f t="shared" si="34"/>
        <v>7199.9999999999991</v>
      </c>
      <c r="K127" s="28">
        <f>+(G127-J127)*(1-$D$114)</f>
        <v>49680</v>
      </c>
      <c r="L127" s="17">
        <f>+K127/$D$118</f>
        <v>0.49680000000000002</v>
      </c>
      <c r="M127" s="21">
        <f>+K127/$D$119</f>
        <v>9.9359999999999999</v>
      </c>
      <c r="O127">
        <f t="shared" si="30"/>
        <v>2.5919999999999999E-2</v>
      </c>
      <c r="P127">
        <f t="shared" si="30"/>
        <v>10.367999999999999</v>
      </c>
    </row>
    <row r="128" spans="2:16" ht="15.75" thickBot="1" x14ac:dyDescent="0.3">
      <c r="B128" t="s">
        <v>60</v>
      </c>
      <c r="C128" s="25">
        <v>0.05</v>
      </c>
      <c r="D128" s="26">
        <v>200000</v>
      </c>
      <c r="E128" s="27">
        <f t="shared" si="31"/>
        <v>400000</v>
      </c>
      <c r="F128" s="29">
        <f t="shared" si="31"/>
        <v>270000</v>
      </c>
      <c r="G128" s="29">
        <f>+E128-F128</f>
        <v>130000</v>
      </c>
      <c r="H128" s="29">
        <f t="shared" si="32"/>
        <v>78000</v>
      </c>
      <c r="I128" s="30">
        <f t="shared" si="33"/>
        <v>0.39</v>
      </c>
      <c r="J128" s="29">
        <f t="shared" si="34"/>
        <v>7199.9999999999991</v>
      </c>
      <c r="K128" s="29">
        <f>+(G128-J128)*(1-$D$114)</f>
        <v>73680</v>
      </c>
      <c r="L128" s="36">
        <f>+K128/$D$118</f>
        <v>0.73680000000000001</v>
      </c>
      <c r="M128" s="37">
        <f>+K128/$D$119</f>
        <v>14.736000000000001</v>
      </c>
      <c r="O128">
        <f t="shared" si="30"/>
        <v>1.7999999999999999E-2</v>
      </c>
      <c r="P128">
        <f t="shared" si="30"/>
        <v>7.2</v>
      </c>
    </row>
    <row r="129" spans="2:13" x14ac:dyDescent="0.25">
      <c r="B129" t="s">
        <v>34</v>
      </c>
      <c r="C129" s="5"/>
      <c r="D129" s="24"/>
      <c r="E129" s="22"/>
      <c r="F129" s="22"/>
      <c r="G129" s="22">
        <f t="shared" ref="G129" si="35">+SUMPRODUCT($C$60:$C$64,G124:G128)</f>
        <v>30000</v>
      </c>
      <c r="H129" s="22">
        <f>+SUMPRODUCT($C124:$C128,H124:H128)</f>
        <v>18000</v>
      </c>
      <c r="I129" s="39">
        <f>+SUMPRODUCT(C124:C128,I124:I128)</f>
        <v>9.0000000000000011E-2</v>
      </c>
      <c r="J129" s="28">
        <f t="shared" si="34"/>
        <v>7199.9999999999991</v>
      </c>
      <c r="K129" s="22">
        <f>+SUMPRODUCT($C124:$C128,K124:K128)</f>
        <v>13680</v>
      </c>
      <c r="L129" s="40">
        <f>+SUMPRODUCT($C124:$C128,L124:L128)</f>
        <v>0.1368</v>
      </c>
      <c r="M129" s="41">
        <f>+SUMPRODUCT($C124:$C128,M124:M128)</f>
        <v>2.7360000000000002</v>
      </c>
    </row>
    <row r="130" spans="2:13" x14ac:dyDescent="0.25">
      <c r="B130" t="s">
        <v>61</v>
      </c>
      <c r="E130" s="22"/>
      <c r="G130" s="22"/>
      <c r="L130" s="40">
        <f>+SUM(O124:O128)^0.5</f>
        <v>0.29637813684548325</v>
      </c>
      <c r="M130" s="41">
        <f>+SUM(P124:P128)^0.5</f>
        <v>5.9275627369096657</v>
      </c>
    </row>
    <row r="131" spans="2:13" x14ac:dyDescent="0.25">
      <c r="B131" t="s">
        <v>62</v>
      </c>
      <c r="E131" s="23"/>
      <c r="G131" s="23"/>
      <c r="L131" s="42">
        <f>+L130/L129</f>
        <v>2.1665068482856964</v>
      </c>
      <c r="M131" s="42">
        <f>+M130/M129</f>
        <v>2.1665068482856964</v>
      </c>
    </row>
    <row r="132" spans="2:13" x14ac:dyDescent="0.25">
      <c r="E132" t="s">
        <v>87</v>
      </c>
    </row>
    <row r="133" spans="2:13" x14ac:dyDescent="0.25">
      <c r="E133" t="s">
        <v>88</v>
      </c>
    </row>
    <row r="134" spans="2:13" x14ac:dyDescent="0.25">
      <c r="B134" t="s">
        <v>56</v>
      </c>
      <c r="C134" s="5">
        <f>+C124</f>
        <v>0.05</v>
      </c>
      <c r="D134" s="20">
        <f>+L101</f>
        <v>-0.21</v>
      </c>
      <c r="E134" s="20">
        <f>+L124</f>
        <v>-0.4632</v>
      </c>
    </row>
    <row r="135" spans="2:13" x14ac:dyDescent="0.25">
      <c r="B135" t="s">
        <v>57</v>
      </c>
      <c r="C135" s="5">
        <f t="shared" ref="C135:C138" si="36">+C125</f>
        <v>0.2</v>
      </c>
      <c r="D135" s="20">
        <f t="shared" ref="D135:D138" si="37">+L102</f>
        <v>-0.09</v>
      </c>
      <c r="E135" s="20">
        <f t="shared" ref="E135:E138" si="38">+L125</f>
        <v>-0.22320000000000001</v>
      </c>
    </row>
    <row r="136" spans="2:13" x14ac:dyDescent="0.25">
      <c r="B136" t="s">
        <v>58</v>
      </c>
      <c r="C136" s="5">
        <f t="shared" si="36"/>
        <v>0.5</v>
      </c>
      <c r="D136" s="20">
        <f t="shared" si="37"/>
        <v>0.09</v>
      </c>
      <c r="E136" s="20">
        <f t="shared" si="38"/>
        <v>0.1368</v>
      </c>
    </row>
    <row r="137" spans="2:13" x14ac:dyDescent="0.25">
      <c r="B137" t="s">
        <v>59</v>
      </c>
      <c r="C137" s="5">
        <f t="shared" si="36"/>
        <v>0.2</v>
      </c>
      <c r="D137" s="20">
        <f t="shared" si="37"/>
        <v>0.27</v>
      </c>
      <c r="E137" s="20">
        <f t="shared" si="38"/>
        <v>0.49680000000000002</v>
      </c>
    </row>
    <row r="138" spans="2:13" x14ac:dyDescent="0.25">
      <c r="B138" t="s">
        <v>60</v>
      </c>
      <c r="C138" s="5">
        <f t="shared" si="36"/>
        <v>0.05</v>
      </c>
      <c r="D138" s="20">
        <f t="shared" si="37"/>
        <v>0.39</v>
      </c>
      <c r="E138" s="20">
        <f t="shared" si="38"/>
        <v>0.73680000000000001</v>
      </c>
    </row>
    <row r="139" spans="2:13" x14ac:dyDescent="0.25">
      <c r="C139" s="5"/>
    </row>
    <row r="140" spans="2:13" x14ac:dyDescent="0.25">
      <c r="C140" s="5"/>
    </row>
    <row r="141" spans="2:13" x14ac:dyDescent="0.25">
      <c r="B141" t="s">
        <v>89</v>
      </c>
      <c r="C141" s="5"/>
    </row>
    <row r="142" spans="2:13" x14ac:dyDescent="0.25">
      <c r="C142" s="5"/>
    </row>
    <row r="143" spans="2:13" x14ac:dyDescent="0.25">
      <c r="C143" t="s">
        <v>92</v>
      </c>
      <c r="D143" t="s">
        <v>93</v>
      </c>
    </row>
    <row r="144" spans="2:13" x14ac:dyDescent="0.25">
      <c r="B144" t="s">
        <v>90</v>
      </c>
      <c r="C144" t="s">
        <v>91</v>
      </c>
      <c r="D144" t="s">
        <v>94</v>
      </c>
      <c r="E144" t="s">
        <v>62</v>
      </c>
    </row>
    <row r="145" spans="2:12" x14ac:dyDescent="0.25">
      <c r="B145" s="5">
        <v>0</v>
      </c>
      <c r="C145">
        <v>1.8</v>
      </c>
      <c r="D145">
        <v>2.96</v>
      </c>
      <c r="E145" s="38">
        <f>+D145/C145</f>
        <v>1.6444444444444444</v>
      </c>
      <c r="F145" s="38">
        <f>+$E$145</f>
        <v>1.6444444444444444</v>
      </c>
      <c r="H145" t="s">
        <v>95</v>
      </c>
    </row>
    <row r="146" spans="2:12" x14ac:dyDescent="0.25">
      <c r="B146" s="5">
        <v>0.1</v>
      </c>
      <c r="C146">
        <v>1.95</v>
      </c>
      <c r="D146">
        <v>3.29</v>
      </c>
      <c r="E146" s="38">
        <f t="shared" ref="E146:E151" si="39">+D146/C146</f>
        <v>1.6871794871794872</v>
      </c>
      <c r="F146" s="38">
        <f t="shared" ref="F146:F151" si="40">+$E$145</f>
        <v>1.6444444444444444</v>
      </c>
      <c r="I146" t="s">
        <v>96</v>
      </c>
    </row>
    <row r="147" spans="2:12" x14ac:dyDescent="0.25">
      <c r="B147" s="5">
        <f>0.1+B146</f>
        <v>0.2</v>
      </c>
      <c r="C147">
        <v>2.12</v>
      </c>
      <c r="D147">
        <v>3.7</v>
      </c>
      <c r="E147" s="38">
        <f t="shared" si="39"/>
        <v>1.7452830188679245</v>
      </c>
      <c r="F147" s="38">
        <f t="shared" si="40"/>
        <v>1.6444444444444444</v>
      </c>
      <c r="I147" t="s">
        <v>97</v>
      </c>
    </row>
    <row r="148" spans="2:12" x14ac:dyDescent="0.25">
      <c r="B148" s="5">
        <f t="shared" ref="B148:B151" si="41">0.1+B147</f>
        <v>0.30000000000000004</v>
      </c>
      <c r="C148">
        <v>2.31</v>
      </c>
      <c r="D148">
        <v>4.2300000000000004</v>
      </c>
      <c r="E148" s="38">
        <f t="shared" si="39"/>
        <v>1.8311688311688312</v>
      </c>
      <c r="F148" s="38">
        <f t="shared" si="40"/>
        <v>1.6444444444444444</v>
      </c>
      <c r="H148" t="s">
        <v>98</v>
      </c>
    </row>
    <row r="149" spans="2:12" x14ac:dyDescent="0.25">
      <c r="B149" s="5">
        <f t="shared" si="41"/>
        <v>0.4</v>
      </c>
      <c r="C149">
        <v>2.54</v>
      </c>
      <c r="D149">
        <v>4.9400000000000004</v>
      </c>
      <c r="E149" s="38">
        <f t="shared" si="39"/>
        <v>1.9448818897637796</v>
      </c>
      <c r="F149" s="38">
        <f t="shared" si="40"/>
        <v>1.6444444444444444</v>
      </c>
    </row>
    <row r="150" spans="2:12" x14ac:dyDescent="0.25">
      <c r="B150" s="5">
        <f t="shared" si="41"/>
        <v>0.5</v>
      </c>
      <c r="C150">
        <v>2.74</v>
      </c>
      <c r="D150">
        <v>5.93</v>
      </c>
      <c r="E150" s="38">
        <f t="shared" si="39"/>
        <v>2.1642335766423355</v>
      </c>
      <c r="F150" s="38">
        <f t="shared" si="40"/>
        <v>1.6444444444444444</v>
      </c>
    </row>
    <row r="151" spans="2:12" x14ac:dyDescent="0.25">
      <c r="B151" s="5">
        <f t="shared" si="41"/>
        <v>0.6</v>
      </c>
      <c r="C151">
        <v>2.7</v>
      </c>
      <c r="D151">
        <v>7.41</v>
      </c>
      <c r="E151" s="38">
        <f t="shared" si="39"/>
        <v>2.7444444444444445</v>
      </c>
      <c r="F151" s="38">
        <f t="shared" si="40"/>
        <v>1.6444444444444444</v>
      </c>
    </row>
    <row r="155" spans="2:12" x14ac:dyDescent="0.25">
      <c r="L155" s="52" t="s">
        <v>99</v>
      </c>
    </row>
    <row r="156" spans="2:12" x14ac:dyDescent="0.25">
      <c r="L156" s="52"/>
    </row>
    <row r="157" spans="2:12" x14ac:dyDescent="0.25">
      <c r="L157" s="52"/>
    </row>
    <row r="158" spans="2:12" x14ac:dyDescent="0.25">
      <c r="L158" s="52"/>
    </row>
    <row r="159" spans="2:12" x14ac:dyDescent="0.25">
      <c r="L159" s="52"/>
    </row>
    <row r="160" spans="2:12" x14ac:dyDescent="0.25">
      <c r="L160" s="52"/>
    </row>
    <row r="161" spans="2:15" x14ac:dyDescent="0.25">
      <c r="L161" s="52"/>
    </row>
    <row r="162" spans="2:15" x14ac:dyDescent="0.25">
      <c r="L162" s="52"/>
    </row>
    <row r="167" spans="2:15" x14ac:dyDescent="0.25">
      <c r="B167" t="s">
        <v>101</v>
      </c>
    </row>
    <row r="169" spans="2:15" x14ac:dyDescent="0.25">
      <c r="B169" s="43" t="s">
        <v>100</v>
      </c>
    </row>
    <row r="171" spans="2:15" x14ac:dyDescent="0.25">
      <c r="B171" s="4" t="s">
        <v>116</v>
      </c>
      <c r="C171" s="44">
        <v>0.03</v>
      </c>
      <c r="D171" s="4" t="s">
        <v>117</v>
      </c>
      <c r="E171" s="44">
        <v>0.06</v>
      </c>
      <c r="F171" t="s">
        <v>125</v>
      </c>
    </row>
    <row r="173" spans="2:15" x14ac:dyDescent="0.25">
      <c r="B173" s="4" t="s">
        <v>102</v>
      </c>
      <c r="C173" s="4"/>
      <c r="E173" s="4" t="s">
        <v>92</v>
      </c>
      <c r="F173" s="4" t="s">
        <v>107</v>
      </c>
      <c r="G173" s="4" t="s">
        <v>110</v>
      </c>
      <c r="H173" s="4" t="s">
        <v>111</v>
      </c>
      <c r="I173" s="4" t="s">
        <v>113</v>
      </c>
      <c r="J173" s="4"/>
      <c r="K173" s="4" t="s">
        <v>118</v>
      </c>
      <c r="L173" s="4" t="s">
        <v>120</v>
      </c>
      <c r="M173" s="4" t="s">
        <v>120</v>
      </c>
    </row>
    <row r="174" spans="2:15" x14ac:dyDescent="0.25">
      <c r="B174" s="4" t="s">
        <v>103</v>
      </c>
      <c r="C174" s="4" t="s">
        <v>104</v>
      </c>
      <c r="D174" s="4" t="s">
        <v>105</v>
      </c>
      <c r="E174" s="4" t="s">
        <v>106</v>
      </c>
      <c r="F174" s="4" t="s">
        <v>108</v>
      </c>
      <c r="G174" s="4" t="s">
        <v>109</v>
      </c>
      <c r="H174" s="4" t="s">
        <v>112</v>
      </c>
      <c r="I174" s="4" t="s">
        <v>114</v>
      </c>
      <c r="J174" s="4" t="s">
        <v>115</v>
      </c>
      <c r="K174" s="4" t="s">
        <v>119</v>
      </c>
      <c r="L174" s="4" t="s">
        <v>121</v>
      </c>
      <c r="M174" s="4" t="s">
        <v>122</v>
      </c>
    </row>
    <row r="175" spans="2:15" x14ac:dyDescent="0.25">
      <c r="B175" s="5">
        <v>0</v>
      </c>
      <c r="C175" s="38">
        <f>+B175/(1-B175)</f>
        <v>0</v>
      </c>
      <c r="D175" s="20">
        <v>2.4E-2</v>
      </c>
      <c r="E175" s="21">
        <f>+C145</f>
        <v>1.8</v>
      </c>
      <c r="F175" s="38">
        <f>1+(1-$D$114)*C175</f>
        <v>1</v>
      </c>
      <c r="G175" s="17">
        <f>+$C$171+$E$171*F175</f>
        <v>0.09</v>
      </c>
      <c r="H175" s="21">
        <f>+E175/G175</f>
        <v>20</v>
      </c>
      <c r="I175" s="23">
        <f>+H175/E175</f>
        <v>11.111111111111111</v>
      </c>
      <c r="J175" s="20">
        <f>+D175*B175+G175*(1-B175)</f>
        <v>0.09</v>
      </c>
      <c r="K175" s="19">
        <v>0.03</v>
      </c>
      <c r="L175" s="19">
        <v>0.06</v>
      </c>
      <c r="M175" s="19">
        <f>+G175-L175-K175</f>
        <v>0</v>
      </c>
      <c r="O175" s="19">
        <f>+K175+L175</f>
        <v>0.09</v>
      </c>
    </row>
    <row r="176" spans="2:15" x14ac:dyDescent="0.25">
      <c r="B176" s="5">
        <f>+B175+0.1</f>
        <v>0.1</v>
      </c>
      <c r="C176" s="38">
        <f t="shared" ref="C176:C181" si="42">+B176/(1-B176)</f>
        <v>0.11111111111111112</v>
      </c>
      <c r="D176" s="20">
        <v>2.4E-2</v>
      </c>
      <c r="E176" s="21">
        <f t="shared" ref="E176:E181" si="43">+C146</f>
        <v>1.95</v>
      </c>
      <c r="F176" s="38">
        <f t="shared" ref="F176:F181" si="44">1+(1-$D$114)*C176</f>
        <v>1.0666666666666667</v>
      </c>
      <c r="G176" s="17">
        <f t="shared" ref="G176:G181" si="45">+$C$171+$E$171*F176</f>
        <v>9.4E-2</v>
      </c>
      <c r="H176" s="21">
        <f t="shared" ref="H176:H181" si="46">+E176/G176</f>
        <v>20.74468085106383</v>
      </c>
      <c r="I176" s="23">
        <f t="shared" ref="I176:I181" si="47">+H176/E176</f>
        <v>10.638297872340425</v>
      </c>
      <c r="J176" s="20">
        <f t="shared" ref="J176:J181" si="48">+D176*B176+G176*(1-B176)</f>
        <v>8.7000000000000008E-2</v>
      </c>
      <c r="K176" s="19">
        <v>0.03</v>
      </c>
      <c r="L176" s="19">
        <v>0.06</v>
      </c>
      <c r="M176" s="19">
        <f t="shared" ref="M176:M181" si="49">+G176-L176-K176</f>
        <v>4.0000000000000036E-3</v>
      </c>
      <c r="O176" s="19">
        <f t="shared" ref="O176:O181" si="50">+K176+L176</f>
        <v>0.09</v>
      </c>
    </row>
    <row r="177" spans="2:15" x14ac:dyDescent="0.25">
      <c r="B177" s="5">
        <f t="shared" ref="B177:B181" si="51">+B176+0.1</f>
        <v>0.2</v>
      </c>
      <c r="C177" s="38">
        <f t="shared" si="42"/>
        <v>0.25</v>
      </c>
      <c r="D177" s="20">
        <v>2.58E-2</v>
      </c>
      <c r="E177" s="21">
        <f t="shared" si="43"/>
        <v>2.12</v>
      </c>
      <c r="F177" s="38">
        <f t="shared" si="44"/>
        <v>1.1499999999999999</v>
      </c>
      <c r="G177" s="17">
        <f t="shared" si="45"/>
        <v>9.8999999999999991E-2</v>
      </c>
      <c r="H177" s="21">
        <f t="shared" si="46"/>
        <v>21.414141414141419</v>
      </c>
      <c r="I177" s="23">
        <f t="shared" si="47"/>
        <v>10.101010101010102</v>
      </c>
      <c r="J177" s="20">
        <f t="shared" si="48"/>
        <v>8.4359999999999991E-2</v>
      </c>
      <c r="K177" s="19">
        <v>0.03</v>
      </c>
      <c r="L177" s="19">
        <v>0.06</v>
      </c>
      <c r="M177" s="19">
        <f t="shared" si="49"/>
        <v>8.9999999999999941E-3</v>
      </c>
      <c r="O177" s="19">
        <f t="shared" si="50"/>
        <v>0.09</v>
      </c>
    </row>
    <row r="178" spans="2:15" x14ac:dyDescent="0.25">
      <c r="B178" s="5">
        <f t="shared" si="51"/>
        <v>0.30000000000000004</v>
      </c>
      <c r="C178" s="38">
        <f t="shared" si="42"/>
        <v>0.42857142857142866</v>
      </c>
      <c r="D178" s="20">
        <v>0.03</v>
      </c>
      <c r="E178" s="21">
        <f t="shared" si="43"/>
        <v>2.31</v>
      </c>
      <c r="F178" s="38">
        <f t="shared" si="44"/>
        <v>1.2571428571428571</v>
      </c>
      <c r="G178" s="17">
        <f t="shared" si="45"/>
        <v>0.10542857142857143</v>
      </c>
      <c r="H178" s="21">
        <f t="shared" si="46"/>
        <v>21.910569105691057</v>
      </c>
      <c r="I178" s="23">
        <f t="shared" si="47"/>
        <v>9.4850948509485082</v>
      </c>
      <c r="J178" s="20">
        <f t="shared" si="48"/>
        <v>8.2799999999999985E-2</v>
      </c>
      <c r="K178" s="19">
        <v>0.03</v>
      </c>
      <c r="L178" s="19">
        <v>0.06</v>
      </c>
      <c r="M178" s="19">
        <f t="shared" si="49"/>
        <v>1.542857142857143E-2</v>
      </c>
      <c r="O178" s="19">
        <f t="shared" si="50"/>
        <v>0.09</v>
      </c>
    </row>
    <row r="179" spans="2:15" x14ac:dyDescent="0.25">
      <c r="B179" s="45">
        <f t="shared" si="51"/>
        <v>0.4</v>
      </c>
      <c r="C179" s="46">
        <f t="shared" si="42"/>
        <v>0.66666666666666674</v>
      </c>
      <c r="D179" s="47">
        <v>3.4799999999999998E-2</v>
      </c>
      <c r="E179" s="48">
        <f t="shared" si="43"/>
        <v>2.54</v>
      </c>
      <c r="F179" s="46">
        <f t="shared" si="44"/>
        <v>1.4</v>
      </c>
      <c r="G179" s="49">
        <f t="shared" si="45"/>
        <v>0.11399999999999999</v>
      </c>
      <c r="H179" s="48">
        <f>+E179/G179</f>
        <v>22.280701754385966</v>
      </c>
      <c r="I179" s="50">
        <f t="shared" si="47"/>
        <v>8.7719298245614041</v>
      </c>
      <c r="J179" s="47">
        <f t="shared" si="48"/>
        <v>8.231999999999999E-2</v>
      </c>
      <c r="K179" s="19">
        <v>0.03</v>
      </c>
      <c r="L179" s="19">
        <v>0.06</v>
      </c>
      <c r="M179" s="19">
        <f t="shared" si="49"/>
        <v>2.3999999999999994E-2</v>
      </c>
      <c r="O179" s="19">
        <f t="shared" si="50"/>
        <v>0.09</v>
      </c>
    </row>
    <row r="180" spans="2:15" x14ac:dyDescent="0.25">
      <c r="B180" s="5">
        <f t="shared" si="51"/>
        <v>0.5</v>
      </c>
      <c r="C180" s="38">
        <f t="shared" si="42"/>
        <v>1</v>
      </c>
      <c r="D180" s="20">
        <v>4.3200000000000002E-2</v>
      </c>
      <c r="E180" s="21">
        <f t="shared" si="43"/>
        <v>2.74</v>
      </c>
      <c r="F180" s="38">
        <f t="shared" si="44"/>
        <v>1.6</v>
      </c>
      <c r="G180" s="17">
        <f t="shared" si="45"/>
        <v>0.126</v>
      </c>
      <c r="H180" s="21">
        <f t="shared" si="46"/>
        <v>21.746031746031747</v>
      </c>
      <c r="I180" s="23">
        <f t="shared" si="47"/>
        <v>7.9365079365079358</v>
      </c>
      <c r="J180" s="20">
        <f t="shared" si="48"/>
        <v>8.4600000000000009E-2</v>
      </c>
      <c r="K180" s="19">
        <v>0.03</v>
      </c>
      <c r="L180" s="19">
        <v>0.06</v>
      </c>
      <c r="M180" s="19">
        <f t="shared" si="49"/>
        <v>3.6000000000000004E-2</v>
      </c>
      <c r="O180" s="19">
        <f t="shared" si="50"/>
        <v>0.09</v>
      </c>
    </row>
    <row r="181" spans="2:15" x14ac:dyDescent="0.25">
      <c r="B181" s="5">
        <f t="shared" si="51"/>
        <v>0.6</v>
      </c>
      <c r="C181" s="38">
        <f t="shared" si="42"/>
        <v>1.4999999999999998</v>
      </c>
      <c r="D181" s="20">
        <v>0.06</v>
      </c>
      <c r="E181" s="21">
        <f t="shared" si="43"/>
        <v>2.7</v>
      </c>
      <c r="F181" s="38">
        <f t="shared" si="44"/>
        <v>1.9</v>
      </c>
      <c r="G181" s="17">
        <f t="shared" si="45"/>
        <v>0.14399999999999999</v>
      </c>
      <c r="H181" s="21">
        <f t="shared" si="46"/>
        <v>18.750000000000004</v>
      </c>
      <c r="I181" s="23">
        <f t="shared" si="47"/>
        <v>6.9444444444444455</v>
      </c>
      <c r="J181" s="20">
        <f t="shared" si="48"/>
        <v>9.3599999999999989E-2</v>
      </c>
      <c r="K181" s="19">
        <v>0.03</v>
      </c>
      <c r="L181" s="19">
        <v>0.06</v>
      </c>
      <c r="M181" s="19">
        <f t="shared" si="49"/>
        <v>5.3999999999999992E-2</v>
      </c>
      <c r="O181" s="19">
        <f t="shared" si="50"/>
        <v>0.09</v>
      </c>
    </row>
    <row r="199" spans="2:2" x14ac:dyDescent="0.25">
      <c r="B199" t="s">
        <v>123</v>
      </c>
    </row>
    <row r="200" spans="2:2" x14ac:dyDescent="0.25">
      <c r="B200" t="s">
        <v>126</v>
      </c>
    </row>
  </sheetData>
  <mergeCells count="8">
    <mergeCell ref="L155:L162"/>
    <mergeCell ref="F121:I121"/>
    <mergeCell ref="J2:K2"/>
    <mergeCell ref="L2:M2"/>
    <mergeCell ref="N2:O2"/>
    <mergeCell ref="F57:I57"/>
    <mergeCell ref="J57:M57"/>
    <mergeCell ref="F98:I9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8D2A21-A959-4CA6-B7AA-AB5E2B58556F}"/>
</file>

<file path=customXml/itemProps2.xml><?xml version="1.0" encoding="utf-8"?>
<ds:datastoreItem xmlns:ds="http://schemas.openxmlformats.org/officeDocument/2006/customXml" ds:itemID="{B0810BAC-C95A-42F5-95A6-3949F78D78BB}"/>
</file>

<file path=customXml/itemProps3.xml><?xml version="1.0" encoding="utf-8"?>
<ds:datastoreItem xmlns:ds="http://schemas.openxmlformats.org/officeDocument/2006/customXml" ds:itemID="{50E71CEE-D3EE-4775-A19C-85B9664F5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GRINBLAT GUSTAVO GABRIEL</cp:lastModifiedBy>
  <dcterms:created xsi:type="dcterms:W3CDTF">2015-06-05T18:19:34Z</dcterms:created>
  <dcterms:modified xsi:type="dcterms:W3CDTF">2024-05-21T01:04:30Z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