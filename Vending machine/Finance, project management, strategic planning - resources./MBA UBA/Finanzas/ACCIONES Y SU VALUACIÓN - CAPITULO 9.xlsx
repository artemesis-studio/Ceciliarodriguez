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FINANZAS CORPORATIVAS\CLASES\"/>
    </mc:Choice>
  </mc:AlternateContent>
  <xr:revisionPtr revIDLastSave="0" documentId="13_ncr:1_{DF653450-1DCC-4939-BAC1-43C21D639430}" xr6:coauthVersionLast="47" xr6:coauthVersionMax="47" xr10:uidLastSave="{00000000-0000-0000-0000-000000000000}"/>
  <bookViews>
    <workbookView xWindow="-120" yWindow="-120" windowWidth="20730" windowHeight="11040" activeTab="2" xr2:uid="{6950C314-37E7-4571-ADAD-1A92ED9207C1}"/>
  </bookViews>
  <sheets>
    <sheet name="ACCIÓN DE CRECIMIENTO CONSTANTE" sheetId="1" r:id="rId1"/>
    <sheet name="EJERCICIO" sheetId="3" r:id="rId2"/>
    <sheet name="PAGINA 335" sheetId="7" r:id="rId3"/>
    <sheet name="MODELO VALUACIÓN CORPORATIVA" sheetId="4" r:id="rId4"/>
    <sheet name="Balance Allied" sheetId="8" r:id="rId5"/>
    <sheet name="EQUILIBRIO DEL MERCADO" sheetId="6" r:id="rId6"/>
    <sheet name="CAMBIO EN LA POLITICA DE PAGO" sheetId="2" r:id="rId7"/>
    <sheet name="AUTOEVALUACIÓN Y PROBLEMAS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8" l="1"/>
  <c r="G33" i="8"/>
  <c r="G35" i="8" s="1"/>
  <c r="F33" i="8"/>
  <c r="F35" i="8" s="1"/>
  <c r="G28" i="8"/>
  <c r="F28" i="8"/>
  <c r="G23" i="8"/>
  <c r="F23" i="8"/>
  <c r="G16" i="8"/>
  <c r="F16" i="8"/>
  <c r="G14" i="8"/>
  <c r="F14" i="8"/>
  <c r="G9" i="8"/>
  <c r="F9" i="8"/>
  <c r="F27" i="4"/>
  <c r="J7" i="8" l="1"/>
  <c r="I34" i="8"/>
  <c r="J34" i="8"/>
  <c r="F20" i="4" l="1"/>
  <c r="I16" i="7"/>
  <c r="H15" i="7"/>
  <c r="I15" i="7" s="1"/>
  <c r="I14" i="7"/>
  <c r="I13" i="7"/>
  <c r="I12" i="7"/>
  <c r="I11" i="7"/>
  <c r="I10" i="7"/>
  <c r="I9" i="7"/>
  <c r="I8" i="7"/>
  <c r="I7" i="7"/>
  <c r="I6" i="7"/>
  <c r="I5" i="7"/>
  <c r="H14" i="7"/>
  <c r="H13" i="7"/>
  <c r="H12" i="7"/>
  <c r="H11" i="7"/>
  <c r="H10" i="7"/>
  <c r="F29" i="3"/>
  <c r="F26" i="3"/>
  <c r="F27" i="3"/>
  <c r="F25" i="3"/>
  <c r="D24" i="3"/>
  <c r="D23" i="3"/>
  <c r="D21" i="3"/>
  <c r="J4" i="2"/>
  <c r="H4" i="2"/>
  <c r="C3" i="1"/>
  <c r="I10" i="6"/>
  <c r="H10" i="6"/>
  <c r="I9" i="6"/>
  <c r="H9" i="6"/>
  <c r="I12" i="6"/>
  <c r="G14" i="6" s="1"/>
  <c r="H12" i="6"/>
  <c r="F14" i="6" s="1"/>
  <c r="F2" i="6"/>
  <c r="G2" i="6" s="1"/>
  <c r="G4" i="6"/>
  <c r="F5" i="6"/>
  <c r="F6" i="6" s="1"/>
  <c r="F3" i="6" l="1"/>
  <c r="G3" i="6" s="1"/>
  <c r="D230" i="5"/>
  <c r="D229" i="5"/>
  <c r="D228" i="5"/>
  <c r="D227" i="5"/>
  <c r="F189" i="5"/>
  <c r="F187" i="5"/>
  <c r="E193" i="5"/>
  <c r="E194" i="5" s="1"/>
  <c r="E176" i="5"/>
  <c r="F180" i="5"/>
  <c r="F179" i="5"/>
  <c r="F178" i="5"/>
  <c r="F174" i="5"/>
  <c r="F177" i="5" s="1"/>
  <c r="F181" i="5" s="1"/>
  <c r="F173" i="5"/>
  <c r="F172" i="5"/>
  <c r="E161" i="5"/>
  <c r="E160" i="5"/>
  <c r="E159" i="5"/>
  <c r="E158" i="5"/>
  <c r="C150" i="5"/>
  <c r="D140" i="5"/>
  <c r="D138" i="5"/>
  <c r="E128" i="5"/>
  <c r="F116" i="5"/>
  <c r="F115" i="5"/>
  <c r="F114" i="5"/>
  <c r="E120" i="5" s="1"/>
  <c r="E119" i="5"/>
  <c r="E110" i="5"/>
  <c r="E100" i="5"/>
  <c r="E99" i="5"/>
  <c r="E96" i="5"/>
  <c r="E95" i="5"/>
  <c r="E94" i="5"/>
  <c r="E93" i="5"/>
  <c r="E98" i="5" s="1"/>
  <c r="E102" i="5" s="1"/>
  <c r="E103" i="5" s="1"/>
  <c r="D73" i="5"/>
  <c r="D41" i="5"/>
  <c r="E41" i="5" s="1"/>
  <c r="D40" i="5"/>
  <c r="E40" i="5" s="1"/>
  <c r="C30" i="5"/>
  <c r="C23" i="5"/>
  <c r="C24" i="5" s="1"/>
  <c r="C21" i="5"/>
  <c r="C20" i="5"/>
  <c r="E195" i="5" l="1"/>
  <c r="G195" i="5" s="1"/>
  <c r="G194" i="5"/>
  <c r="G193" i="5"/>
  <c r="G196" i="5" s="1"/>
  <c r="E198" i="5" s="1"/>
  <c r="E199" i="5" s="1"/>
  <c r="D208" i="5" s="1"/>
  <c r="D74" i="5"/>
  <c r="D52" i="5"/>
  <c r="E52" i="5" s="1"/>
  <c r="D42" i="5"/>
  <c r="D53" i="5" s="1"/>
  <c r="F21" i="4"/>
  <c r="G25" i="4"/>
  <c r="H25" i="4" s="1"/>
  <c r="I25" i="4" s="1"/>
  <c r="J25" i="4" s="1"/>
  <c r="K25" i="4" s="1"/>
  <c r="K30" i="4" s="1"/>
  <c r="G24" i="4"/>
  <c r="H24" i="4" s="1"/>
  <c r="G17" i="4"/>
  <c r="H17" i="4" s="1"/>
  <c r="F29" i="4"/>
  <c r="F26" i="4"/>
  <c r="D14" i="3"/>
  <c r="D16" i="3"/>
  <c r="D15" i="3"/>
  <c r="E4" i="3" s="1"/>
  <c r="F4" i="3" s="1"/>
  <c r="D12" i="3"/>
  <c r="D7" i="2"/>
  <c r="D13" i="2" s="1"/>
  <c r="C7" i="2"/>
  <c r="C13" i="2" s="1"/>
  <c r="G26" i="4" l="1"/>
  <c r="G19" i="4" s="1"/>
  <c r="G30" i="4"/>
  <c r="I17" i="4"/>
  <c r="H18" i="4"/>
  <c r="H26" i="4"/>
  <c r="H19" i="4" s="1"/>
  <c r="I24" i="4"/>
  <c r="H27" i="4"/>
  <c r="J30" i="4"/>
  <c r="G18" i="4"/>
  <c r="G27" i="4"/>
  <c r="G29" i="4" s="1"/>
  <c r="G20" i="4"/>
  <c r="G21" i="4" s="1"/>
  <c r="F33" i="4"/>
  <c r="H30" i="4"/>
  <c r="I30" i="4"/>
  <c r="I6" i="3"/>
  <c r="I7" i="3" s="1"/>
  <c r="I8" i="3" s="1"/>
  <c r="I9" i="3" s="1"/>
  <c r="I10" i="3" s="1"/>
  <c r="J10" i="3" s="1"/>
  <c r="E5" i="3"/>
  <c r="F5" i="3" s="1"/>
  <c r="I4" i="3"/>
  <c r="J4" i="3" s="1"/>
  <c r="E6" i="3"/>
  <c r="E7" i="3" s="1"/>
  <c r="F7" i="3" s="1"/>
  <c r="I5" i="3"/>
  <c r="J5" i="3" s="1"/>
  <c r="D61" i="5"/>
  <c r="E61" i="5" s="1"/>
  <c r="E53" i="5"/>
  <c r="D75" i="5"/>
  <c r="E42" i="5"/>
  <c r="D44" i="5"/>
  <c r="F22" i="4"/>
  <c r="C29" i="1"/>
  <c r="C30" i="1" s="1"/>
  <c r="G30" i="1" s="1"/>
  <c r="H30" i="1" s="1"/>
  <c r="D12" i="1"/>
  <c r="D13" i="1" s="1"/>
  <c r="D30" i="1" l="1"/>
  <c r="H29" i="4"/>
  <c r="H20" i="4"/>
  <c r="H21" i="4" s="1"/>
  <c r="H22" i="4" s="1"/>
  <c r="G22" i="4"/>
  <c r="G33" i="4"/>
  <c r="G34" i="4" s="1"/>
  <c r="J24" i="4"/>
  <c r="I26" i="4"/>
  <c r="I19" i="4" s="1"/>
  <c r="I27" i="4"/>
  <c r="I29" i="4" s="1"/>
  <c r="J17" i="4"/>
  <c r="I18" i="4"/>
  <c r="F6" i="3"/>
  <c r="J6" i="3"/>
  <c r="J9" i="3"/>
  <c r="J8" i="3"/>
  <c r="J7" i="3"/>
  <c r="D55" i="5"/>
  <c r="E44" i="5"/>
  <c r="F8" i="3"/>
  <c r="I13" i="1"/>
  <c r="I25" i="1"/>
  <c r="D14" i="1"/>
  <c r="D15" i="1" s="1"/>
  <c r="D16" i="1" s="1"/>
  <c r="D17" i="1" s="1"/>
  <c r="D18" i="1" s="1"/>
  <c r="D19" i="1" s="1"/>
  <c r="D20" i="1" s="1"/>
  <c r="D21" i="1" s="1"/>
  <c r="D22" i="1" s="1"/>
  <c r="I22" i="1" s="1"/>
  <c r="E12" i="1"/>
  <c r="F13" i="1" s="1"/>
  <c r="C31" i="1"/>
  <c r="G31" i="1" s="1"/>
  <c r="H31" i="1" s="1"/>
  <c r="D31" i="1" l="1"/>
  <c r="H33" i="4"/>
  <c r="H34" i="4" s="1"/>
  <c r="I20" i="4"/>
  <c r="I21" i="4" s="1"/>
  <c r="I22" i="4" s="1"/>
  <c r="K17" i="4"/>
  <c r="J18" i="4"/>
  <c r="K24" i="4"/>
  <c r="J26" i="4"/>
  <c r="J19" i="4" s="1"/>
  <c r="J27" i="4"/>
  <c r="J11" i="3"/>
  <c r="C32" i="1"/>
  <c r="G32" i="1" s="1"/>
  <c r="H32" i="1" s="1"/>
  <c r="E15" i="1"/>
  <c r="F16" i="1" s="1"/>
  <c r="I14" i="1"/>
  <c r="E14" i="1"/>
  <c r="E13" i="1"/>
  <c r="I16" i="1"/>
  <c r="E19" i="1"/>
  <c r="F20" i="1" s="1"/>
  <c r="E16" i="1"/>
  <c r="F17" i="1" s="1"/>
  <c r="E20" i="1"/>
  <c r="F21" i="1" s="1"/>
  <c r="E75" i="5"/>
  <c r="G75" i="5" s="1"/>
  <c r="E45" i="5"/>
  <c r="E47" i="5" s="1"/>
  <c r="E72" i="5" s="1"/>
  <c r="F73" i="5" s="1"/>
  <c r="E55" i="5"/>
  <c r="E56" i="5" s="1"/>
  <c r="E58" i="5" s="1"/>
  <c r="E73" i="5" s="1"/>
  <c r="D64" i="5"/>
  <c r="E64" i="5" s="1"/>
  <c r="E65" i="5" s="1"/>
  <c r="E67" i="5" s="1"/>
  <c r="E74" i="5" s="1"/>
  <c r="I19" i="1"/>
  <c r="I17" i="1"/>
  <c r="I18" i="1"/>
  <c r="D23" i="1"/>
  <c r="I23" i="1" s="1"/>
  <c r="E21" i="1"/>
  <c r="F22" i="1" s="1"/>
  <c r="I21" i="1"/>
  <c r="E18" i="1"/>
  <c r="F19" i="1" s="1"/>
  <c r="I20" i="1"/>
  <c r="I15" i="1"/>
  <c r="E17" i="1"/>
  <c r="G13" i="1" l="1"/>
  <c r="H13" i="1" s="1"/>
  <c r="G17" i="1"/>
  <c r="H17" i="1" s="1"/>
  <c r="G16" i="1"/>
  <c r="H16" i="1" s="1"/>
  <c r="D24" i="1"/>
  <c r="I24" i="1" s="1"/>
  <c r="E22" i="1"/>
  <c r="G22" i="1" s="1"/>
  <c r="H22" i="1" s="1"/>
  <c r="C33" i="1"/>
  <c r="G33" i="1" s="1"/>
  <c r="H33" i="1" s="1"/>
  <c r="D32" i="1"/>
  <c r="I33" i="4"/>
  <c r="I34" i="4" s="1"/>
  <c r="J20" i="4"/>
  <c r="J21" i="4" s="1"/>
  <c r="J22" i="4" s="1"/>
  <c r="J29" i="4"/>
  <c r="J33" i="4" s="1"/>
  <c r="J34" i="4" s="1"/>
  <c r="K27" i="4"/>
  <c r="K26" i="4"/>
  <c r="K19" i="4" s="1"/>
  <c r="K18" i="4"/>
  <c r="K20" i="4" s="1"/>
  <c r="K21" i="4" s="1"/>
  <c r="F14" i="1"/>
  <c r="G14" i="1"/>
  <c r="G15" i="1"/>
  <c r="F15" i="1"/>
  <c r="G21" i="1"/>
  <c r="H21" i="1" s="1"/>
  <c r="G20" i="1"/>
  <c r="H20" i="1" s="1"/>
  <c r="G74" i="5"/>
  <c r="F75" i="5"/>
  <c r="H75" i="5" s="1"/>
  <c r="G73" i="5"/>
  <c r="H73" i="5" s="1"/>
  <c r="F74" i="5"/>
  <c r="G19" i="1"/>
  <c r="H19" i="1" s="1"/>
  <c r="G18" i="1"/>
  <c r="F18" i="1"/>
  <c r="D33" i="1" l="1"/>
  <c r="C34" i="1"/>
  <c r="G34" i="1" s="1"/>
  <c r="H34" i="1" s="1"/>
  <c r="K22" i="4"/>
  <c r="K29" i="4"/>
  <c r="K33" i="4" s="1"/>
  <c r="H14" i="1"/>
  <c r="H15" i="1"/>
  <c r="H74" i="5"/>
  <c r="H18" i="1"/>
  <c r="C35" i="1" l="1"/>
  <c r="G35" i="1" s="1"/>
  <c r="H35" i="1" s="1"/>
  <c r="D34" i="1"/>
  <c r="K34" i="4"/>
  <c r="F45" i="4" s="1"/>
  <c r="F38" i="4"/>
  <c r="F39" i="4" s="1"/>
  <c r="F40" i="4" s="1"/>
  <c r="F46" i="4"/>
  <c r="F49" i="4" s="1"/>
  <c r="F51" i="4" s="1"/>
  <c r="F54" i="4" s="1"/>
  <c r="C36" i="1"/>
  <c r="E36" i="1" s="1"/>
  <c r="D35" i="1" l="1"/>
  <c r="D36" i="1"/>
  <c r="C37" i="1"/>
  <c r="E37" i="1" s="1"/>
  <c r="D37" i="1" l="1"/>
  <c r="C38" i="1"/>
  <c r="E38" i="1" s="1"/>
  <c r="C39" i="1" l="1"/>
  <c r="E39" i="1" s="1"/>
  <c r="D38" i="1"/>
  <c r="D39" i="1" l="1"/>
  <c r="C40" i="1"/>
  <c r="E40" i="1" s="1"/>
  <c r="D40" i="1" l="1"/>
  <c r="C41" i="1"/>
  <c r="E41" i="1" s="1"/>
  <c r="C42" i="1" l="1"/>
  <c r="E42" i="1" s="1"/>
  <c r="D41" i="1"/>
  <c r="D42" i="1" l="1"/>
  <c r="C43" i="1"/>
  <c r="E43" i="1" s="1"/>
  <c r="D43" i="1" l="1"/>
  <c r="C44" i="1"/>
  <c r="E44" i="1" s="1"/>
  <c r="D44" i="1" l="1"/>
  <c r="C45" i="1"/>
  <c r="E45" i="1" s="1"/>
  <c r="D45" i="1" l="1"/>
  <c r="C46" i="1"/>
  <c r="E46" i="1" s="1"/>
  <c r="C47" i="1" l="1"/>
  <c r="E47" i="1" s="1"/>
  <c r="D46" i="1"/>
  <c r="D47" i="1" l="1"/>
  <c r="C48" i="1"/>
  <c r="E48" i="1" s="1"/>
  <c r="D48" i="1" l="1"/>
  <c r="C49" i="1"/>
  <c r="E49" i="1" s="1"/>
  <c r="D49" i="1" l="1"/>
  <c r="C50" i="1"/>
  <c r="E50" i="1" s="1"/>
  <c r="C51" i="1" l="1"/>
  <c r="E51" i="1" s="1"/>
  <c r="D50" i="1"/>
  <c r="D51" i="1" l="1"/>
  <c r="C52" i="1"/>
  <c r="E52" i="1" s="1"/>
  <c r="C53" i="1" l="1"/>
  <c r="E53" i="1" s="1"/>
  <c r="D52" i="1"/>
  <c r="D53" i="1" l="1"/>
  <c r="C54" i="1"/>
  <c r="E54" i="1" s="1"/>
  <c r="C55" i="1" l="1"/>
  <c r="E55" i="1" s="1"/>
  <c r="D54" i="1"/>
  <c r="D55" i="1" l="1"/>
  <c r="C56" i="1"/>
  <c r="E56" i="1" s="1"/>
  <c r="D56" i="1" l="1"/>
  <c r="C57" i="1"/>
  <c r="E57" i="1" s="1"/>
  <c r="C58" i="1" l="1"/>
  <c r="E58" i="1" s="1"/>
  <c r="D57" i="1"/>
  <c r="D58" i="1" l="1"/>
  <c r="C59" i="1"/>
  <c r="E59" i="1" s="1"/>
  <c r="D59" i="1" l="1"/>
  <c r="C60" i="1"/>
  <c r="E60" i="1" s="1"/>
  <c r="C61" i="1" l="1"/>
  <c r="E61" i="1" s="1"/>
  <c r="D60" i="1"/>
  <c r="D61" i="1" l="1"/>
  <c r="C62" i="1"/>
  <c r="E62" i="1" s="1"/>
  <c r="C63" i="1" l="1"/>
  <c r="E63" i="1" s="1"/>
  <c r="D62" i="1"/>
  <c r="D63" i="1" l="1"/>
  <c r="C64" i="1"/>
  <c r="E64" i="1" s="1"/>
  <c r="D64" i="1" l="1"/>
  <c r="C65" i="1"/>
  <c r="E65" i="1" s="1"/>
  <c r="D65" i="1" l="1"/>
  <c r="C66" i="1"/>
  <c r="E66" i="1" s="1"/>
  <c r="D66" i="1" l="1"/>
  <c r="C67" i="1"/>
  <c r="E67" i="1" s="1"/>
  <c r="D67" i="1" l="1"/>
  <c r="C68" i="1"/>
  <c r="E68" i="1" s="1"/>
  <c r="D68" i="1" l="1"/>
  <c r="C69" i="1"/>
  <c r="E69" i="1" s="1"/>
  <c r="D69" i="1" l="1"/>
  <c r="C70" i="1"/>
  <c r="E70" i="1" s="1"/>
  <c r="C71" i="1" l="1"/>
  <c r="E71" i="1" s="1"/>
  <c r="D70" i="1"/>
  <c r="D71" i="1" l="1"/>
  <c r="C72" i="1"/>
  <c r="E72" i="1" s="1"/>
  <c r="D72" i="1" l="1"/>
  <c r="C73" i="1"/>
  <c r="E73" i="1" s="1"/>
  <c r="C74" i="1" l="1"/>
  <c r="E74" i="1" s="1"/>
  <c r="D73" i="1"/>
  <c r="D74" i="1" l="1"/>
  <c r="C75" i="1"/>
  <c r="E75" i="1" s="1"/>
  <c r="D75" i="1" l="1"/>
  <c r="C76" i="1"/>
  <c r="E76" i="1" s="1"/>
  <c r="D76" i="1" l="1"/>
  <c r="C77" i="1"/>
  <c r="E77" i="1" s="1"/>
  <c r="D77" i="1" l="1"/>
  <c r="C78" i="1"/>
  <c r="E78" i="1" s="1"/>
  <c r="C79" i="1" l="1"/>
  <c r="E79" i="1" s="1"/>
  <c r="D78" i="1"/>
  <c r="D79" i="1" l="1"/>
  <c r="C80" i="1"/>
  <c r="E80" i="1" s="1"/>
  <c r="D80" i="1" l="1"/>
  <c r="C81" i="1"/>
  <c r="E81" i="1" s="1"/>
  <c r="C82" i="1" l="1"/>
  <c r="E82" i="1" s="1"/>
  <c r="D81" i="1"/>
  <c r="C83" i="1" l="1"/>
  <c r="E83" i="1" s="1"/>
  <c r="D82" i="1"/>
  <c r="D83" i="1" l="1"/>
  <c r="C84" i="1"/>
  <c r="E84" i="1" s="1"/>
  <c r="D84" i="1" l="1"/>
  <c r="C85" i="1"/>
  <c r="E85" i="1" s="1"/>
  <c r="C86" i="1" l="1"/>
  <c r="E86" i="1" s="1"/>
  <c r="D85" i="1"/>
  <c r="C87" i="1" l="1"/>
  <c r="E87" i="1" s="1"/>
  <c r="D86" i="1"/>
  <c r="D87" i="1" l="1"/>
  <c r="C88" i="1"/>
  <c r="E88" i="1" s="1"/>
  <c r="D88" i="1" l="1"/>
  <c r="C89" i="1"/>
  <c r="E89" i="1" s="1"/>
  <c r="C90" i="1" l="1"/>
  <c r="E90" i="1" s="1"/>
  <c r="D89" i="1"/>
  <c r="D90" i="1" l="1"/>
  <c r="C91" i="1"/>
  <c r="E91" i="1" s="1"/>
  <c r="D91" i="1" l="1"/>
  <c r="C92" i="1"/>
  <c r="E92" i="1" s="1"/>
  <c r="D92" i="1" l="1"/>
  <c r="C93" i="1"/>
  <c r="E93" i="1" s="1"/>
  <c r="D93" i="1" l="1"/>
  <c r="C94" i="1"/>
  <c r="E94" i="1" s="1"/>
  <c r="C95" i="1" l="1"/>
  <c r="E95" i="1" s="1"/>
  <c r="D94" i="1"/>
  <c r="D95" i="1" l="1"/>
  <c r="C96" i="1"/>
  <c r="E96" i="1" s="1"/>
  <c r="D96" i="1" l="1"/>
  <c r="C97" i="1"/>
  <c r="E97" i="1" s="1"/>
  <c r="C98" i="1" l="1"/>
  <c r="E98" i="1" s="1"/>
  <c r="D97" i="1"/>
  <c r="C99" i="1" l="1"/>
  <c r="E99" i="1" s="1"/>
  <c r="D98" i="1"/>
  <c r="D99" i="1" l="1"/>
  <c r="C100" i="1"/>
  <c r="E100" i="1" s="1"/>
  <c r="D100" i="1" l="1"/>
  <c r="C101" i="1"/>
  <c r="E101" i="1" s="1"/>
  <c r="C102" i="1" l="1"/>
  <c r="E102" i="1" s="1"/>
  <c r="D101" i="1"/>
  <c r="C103" i="1" l="1"/>
  <c r="E103" i="1" s="1"/>
  <c r="D102" i="1"/>
  <c r="D103" i="1" l="1"/>
  <c r="C104" i="1"/>
  <c r="E104" i="1" s="1"/>
  <c r="D104" i="1" l="1"/>
  <c r="C105" i="1"/>
  <c r="E105" i="1" s="1"/>
  <c r="C106" i="1" l="1"/>
  <c r="E106" i="1" s="1"/>
  <c r="D105" i="1"/>
  <c r="D106" i="1" l="1"/>
  <c r="C107" i="1"/>
  <c r="E107" i="1" s="1"/>
  <c r="D107" i="1" l="1"/>
  <c r="C108" i="1"/>
  <c r="E108" i="1" s="1"/>
  <c r="D108" i="1" l="1"/>
  <c r="C109" i="1"/>
  <c r="E109" i="1" s="1"/>
  <c r="D109" i="1" l="1"/>
  <c r="C110" i="1"/>
  <c r="E110" i="1" s="1"/>
  <c r="C111" i="1" l="1"/>
  <c r="E111" i="1" s="1"/>
  <c r="D110" i="1"/>
  <c r="D111" i="1" l="1"/>
  <c r="C112" i="1"/>
  <c r="E112" i="1" s="1"/>
  <c r="D112" i="1" l="1"/>
  <c r="C113" i="1"/>
  <c r="E113" i="1" s="1"/>
  <c r="C114" i="1" l="1"/>
  <c r="E114" i="1" s="1"/>
  <c r="D113" i="1"/>
  <c r="D114" i="1" l="1"/>
  <c r="C115" i="1"/>
  <c r="E115" i="1" s="1"/>
  <c r="D115" i="1" l="1"/>
  <c r="C116" i="1"/>
  <c r="E116" i="1" s="1"/>
  <c r="D116" i="1" l="1"/>
  <c r="C117" i="1"/>
  <c r="E117" i="1" s="1"/>
  <c r="D117" i="1" l="1"/>
  <c r="C118" i="1"/>
  <c r="E118" i="1" s="1"/>
  <c r="C119" i="1" l="1"/>
  <c r="E119" i="1" s="1"/>
  <c r="D118" i="1"/>
  <c r="D119" i="1" l="1"/>
  <c r="C120" i="1"/>
  <c r="E120" i="1" s="1"/>
  <c r="D120" i="1" l="1"/>
  <c r="C121" i="1"/>
  <c r="E121" i="1" s="1"/>
  <c r="C122" i="1" l="1"/>
  <c r="E122" i="1" s="1"/>
  <c r="D121" i="1"/>
  <c r="C123" i="1" l="1"/>
  <c r="E123" i="1" s="1"/>
  <c r="D122" i="1"/>
  <c r="C124" i="1" l="1"/>
  <c r="E124" i="1" s="1"/>
  <c r="D123" i="1"/>
  <c r="D124" i="1" l="1"/>
  <c r="C125" i="1"/>
  <c r="E125" i="1" s="1"/>
  <c r="D125" i="1" l="1"/>
  <c r="C126" i="1"/>
  <c r="E126" i="1" s="1"/>
  <c r="C127" i="1" l="1"/>
  <c r="E127" i="1" s="1"/>
  <c r="D126" i="1"/>
  <c r="D127" i="1" l="1"/>
  <c r="C128" i="1"/>
  <c r="E128" i="1" s="1"/>
  <c r="D128" i="1" l="1"/>
  <c r="C129" i="1"/>
  <c r="E129" i="1" s="1"/>
  <c r="C130" i="1" l="1"/>
  <c r="E130" i="1" s="1"/>
  <c r="D129" i="1"/>
  <c r="D130" i="1" l="1"/>
  <c r="C131" i="1"/>
  <c r="E131" i="1" s="1"/>
  <c r="D131" i="1" l="1"/>
  <c r="C132" i="1"/>
  <c r="E132" i="1" s="1"/>
  <c r="C133" i="1" l="1"/>
  <c r="E133" i="1" s="1"/>
  <c r="D132" i="1"/>
  <c r="D133" i="1" l="1"/>
  <c r="C134" i="1"/>
  <c r="E134" i="1" s="1"/>
  <c r="C135" i="1" l="1"/>
  <c r="E135" i="1" s="1"/>
  <c r="D134" i="1"/>
  <c r="D135" i="1" l="1"/>
  <c r="C136" i="1"/>
  <c r="E136" i="1" s="1"/>
  <c r="D136" i="1" l="1"/>
  <c r="C137" i="1"/>
  <c r="E137" i="1" s="1"/>
  <c r="C138" i="1" l="1"/>
  <c r="E138" i="1" s="1"/>
  <c r="D137" i="1"/>
  <c r="C139" i="1" l="1"/>
  <c r="E139" i="1" s="1"/>
  <c r="D138" i="1"/>
  <c r="D139" i="1" l="1"/>
  <c r="C140" i="1"/>
  <c r="E140" i="1" s="1"/>
  <c r="D140" i="1" l="1"/>
  <c r="C141" i="1"/>
  <c r="E141" i="1" s="1"/>
  <c r="D141" i="1" l="1"/>
  <c r="C142" i="1"/>
  <c r="E142" i="1" s="1"/>
  <c r="C143" i="1" l="1"/>
  <c r="E143" i="1" s="1"/>
  <c r="D142" i="1"/>
  <c r="D143" i="1" l="1"/>
  <c r="C144" i="1"/>
  <c r="E144" i="1" s="1"/>
  <c r="D144" i="1" l="1"/>
  <c r="C145" i="1"/>
  <c r="E145" i="1" s="1"/>
  <c r="C146" i="1" l="1"/>
  <c r="E146" i="1" s="1"/>
  <c r="D145" i="1"/>
  <c r="D146" i="1" l="1"/>
  <c r="C147" i="1"/>
  <c r="E147" i="1" s="1"/>
  <c r="D147" i="1" l="1"/>
  <c r="C148" i="1"/>
  <c r="E148" i="1" s="1"/>
  <c r="C149" i="1" l="1"/>
  <c r="E149" i="1" s="1"/>
  <c r="D148" i="1"/>
  <c r="C150" i="1" l="1"/>
  <c r="E150" i="1" s="1"/>
  <c r="D149" i="1"/>
  <c r="C151" i="1" l="1"/>
  <c r="E151" i="1" s="1"/>
  <c r="D150" i="1"/>
  <c r="D151" i="1" l="1"/>
  <c r="C152" i="1"/>
  <c r="E152" i="1" s="1"/>
  <c r="D152" i="1" l="1"/>
  <c r="C153" i="1"/>
  <c r="E153" i="1" s="1"/>
  <c r="C154" i="1" l="1"/>
  <c r="E154" i="1" s="1"/>
  <c r="D153" i="1"/>
  <c r="C155" i="1" l="1"/>
  <c r="E155" i="1" s="1"/>
  <c r="D154" i="1"/>
  <c r="D155" i="1" l="1"/>
  <c r="C156" i="1"/>
  <c r="E156" i="1" s="1"/>
  <c r="D156" i="1" l="1"/>
  <c r="C157" i="1"/>
  <c r="E157" i="1" s="1"/>
  <c r="D157" i="1" l="1"/>
  <c r="C158" i="1"/>
  <c r="E158" i="1" s="1"/>
  <c r="C159" i="1" l="1"/>
  <c r="E159" i="1" s="1"/>
  <c r="D158" i="1"/>
  <c r="D159" i="1" l="1"/>
  <c r="C160" i="1"/>
  <c r="E160" i="1" s="1"/>
  <c r="D160" i="1" l="1"/>
  <c r="C161" i="1"/>
  <c r="E161" i="1" s="1"/>
  <c r="C162" i="1" l="1"/>
  <c r="E162" i="1" s="1"/>
  <c r="D161" i="1"/>
  <c r="C163" i="1" l="1"/>
  <c r="E163" i="1" s="1"/>
  <c r="D162" i="1"/>
  <c r="C164" i="1" l="1"/>
  <c r="E164" i="1" s="1"/>
  <c r="D163" i="1"/>
  <c r="C165" i="1" l="1"/>
  <c r="E165" i="1" s="1"/>
  <c r="D164" i="1"/>
  <c r="C166" i="1" l="1"/>
  <c r="E166" i="1" s="1"/>
  <c r="D165" i="1"/>
  <c r="C167" i="1" l="1"/>
  <c r="E167" i="1" s="1"/>
  <c r="D166" i="1"/>
  <c r="D167" i="1" l="1"/>
  <c r="C168" i="1"/>
  <c r="E168" i="1" s="1"/>
  <c r="D168" i="1" l="1"/>
  <c r="C169" i="1"/>
  <c r="E169" i="1" s="1"/>
  <c r="C170" i="1" l="1"/>
  <c r="E170" i="1" s="1"/>
  <c r="D169" i="1"/>
  <c r="C171" i="1" l="1"/>
  <c r="E171" i="1" s="1"/>
  <c r="D170" i="1"/>
  <c r="D171" i="1" l="1"/>
  <c r="C172" i="1"/>
  <c r="E172" i="1" s="1"/>
  <c r="D172" i="1" l="1"/>
  <c r="C173" i="1"/>
  <c r="E173" i="1" s="1"/>
  <c r="C174" i="1" l="1"/>
  <c r="E174" i="1" s="1"/>
  <c r="D173" i="1"/>
  <c r="C175" i="1" l="1"/>
  <c r="E175" i="1" s="1"/>
  <c r="D174" i="1"/>
  <c r="D175" i="1" l="1"/>
  <c r="C176" i="1"/>
  <c r="E176" i="1" s="1"/>
  <c r="D176" i="1" l="1"/>
  <c r="C177" i="1"/>
  <c r="E177" i="1" s="1"/>
  <c r="D177" i="1" l="1"/>
  <c r="C178" i="1"/>
  <c r="E178" i="1" s="1"/>
  <c r="D178" i="1" l="1"/>
  <c r="C179" i="1"/>
  <c r="E179" i="1" s="1"/>
  <c r="D179" i="1" l="1"/>
  <c r="C180" i="1"/>
  <c r="E180" i="1" s="1"/>
  <c r="D180" i="1" l="1"/>
  <c r="C181" i="1"/>
  <c r="E181" i="1" s="1"/>
  <c r="D181" i="1" l="1"/>
  <c r="C182" i="1"/>
  <c r="E182" i="1" s="1"/>
  <c r="C183" i="1" l="1"/>
  <c r="E183" i="1" s="1"/>
  <c r="D182" i="1"/>
  <c r="D183" i="1" l="1"/>
  <c r="C184" i="1"/>
  <c r="E184" i="1" s="1"/>
  <c r="D184" i="1" l="1"/>
  <c r="C185" i="1"/>
  <c r="E185" i="1" s="1"/>
  <c r="C186" i="1" l="1"/>
  <c r="E186" i="1" s="1"/>
  <c r="D185" i="1"/>
  <c r="D186" i="1" l="1"/>
  <c r="C187" i="1"/>
  <c r="E187" i="1" s="1"/>
  <c r="D187" i="1" l="1"/>
  <c r="C188" i="1"/>
  <c r="E188" i="1" s="1"/>
  <c r="D188" i="1" l="1"/>
  <c r="C189" i="1"/>
  <c r="E189" i="1" s="1"/>
  <c r="D189" i="1" l="1"/>
  <c r="C190" i="1"/>
  <c r="E190" i="1" s="1"/>
  <c r="C191" i="1" l="1"/>
  <c r="E191" i="1" s="1"/>
  <c r="D190" i="1"/>
  <c r="D191" i="1" l="1"/>
  <c r="C192" i="1"/>
  <c r="E192" i="1" s="1"/>
  <c r="C193" i="1" l="1"/>
  <c r="E193" i="1" s="1"/>
  <c r="D192" i="1"/>
  <c r="C194" i="1" l="1"/>
  <c r="E194" i="1" s="1"/>
  <c r="D193" i="1"/>
  <c r="C195" i="1" l="1"/>
  <c r="E195" i="1" s="1"/>
  <c r="D194" i="1"/>
  <c r="C196" i="1" l="1"/>
  <c r="E196" i="1" s="1"/>
  <c r="D195" i="1"/>
  <c r="D196" i="1" l="1"/>
  <c r="C197" i="1"/>
  <c r="E197" i="1" s="1"/>
  <c r="D197" i="1" l="1"/>
  <c r="C198" i="1"/>
  <c r="E198" i="1" s="1"/>
  <c r="C199" i="1" l="1"/>
  <c r="E199" i="1" s="1"/>
  <c r="D198" i="1"/>
  <c r="D199" i="1" l="1"/>
  <c r="C200" i="1"/>
  <c r="E200" i="1" s="1"/>
  <c r="D200" i="1" l="1"/>
  <c r="C201" i="1"/>
  <c r="E201" i="1" s="1"/>
  <c r="D201" i="1" l="1"/>
  <c r="C202" i="1"/>
  <c r="E202" i="1" s="1"/>
  <c r="C203" i="1" l="1"/>
  <c r="E203" i="1" s="1"/>
  <c r="D202" i="1"/>
  <c r="C204" i="1" l="1"/>
  <c r="E204" i="1" s="1"/>
  <c r="D203" i="1"/>
  <c r="D204" i="1" l="1"/>
  <c r="C205" i="1"/>
  <c r="E205" i="1" s="1"/>
  <c r="D205" i="1" l="1"/>
  <c r="C206" i="1"/>
  <c r="E206" i="1" s="1"/>
  <c r="C207" i="1" l="1"/>
  <c r="E207" i="1" s="1"/>
  <c r="D206" i="1"/>
  <c r="D207" i="1" l="1"/>
  <c r="C208" i="1"/>
  <c r="E208" i="1" s="1"/>
  <c r="D208" i="1" l="1"/>
  <c r="C209" i="1"/>
  <c r="E209" i="1" s="1"/>
  <c r="C210" i="1" l="1"/>
  <c r="E210" i="1" s="1"/>
  <c r="D209" i="1"/>
  <c r="D210" i="1" l="1"/>
  <c r="C211" i="1"/>
  <c r="E211" i="1" s="1"/>
  <c r="D211" i="1" l="1"/>
  <c r="C212" i="1"/>
  <c r="E212" i="1" s="1"/>
  <c r="D212" i="1" l="1"/>
  <c r="C213" i="1"/>
  <c r="E213" i="1" s="1"/>
  <c r="C214" i="1" l="1"/>
  <c r="E214" i="1" s="1"/>
  <c r="D213" i="1"/>
  <c r="C215" i="1" l="1"/>
  <c r="E215" i="1" s="1"/>
  <c r="D214" i="1"/>
  <c r="D215" i="1" l="1"/>
  <c r="C216" i="1"/>
  <c r="E216" i="1" s="1"/>
  <c r="C217" i="1" l="1"/>
  <c r="E217" i="1" s="1"/>
  <c r="D216" i="1"/>
  <c r="C218" i="1" l="1"/>
  <c r="E218" i="1" s="1"/>
  <c r="D217" i="1"/>
  <c r="C219" i="1" l="1"/>
  <c r="E219" i="1" s="1"/>
  <c r="D218" i="1"/>
  <c r="D219" i="1" l="1"/>
  <c r="C220" i="1"/>
  <c r="E220" i="1" s="1"/>
  <c r="C221" i="1" l="1"/>
  <c r="E221" i="1" s="1"/>
  <c r="D220" i="1"/>
  <c r="C222" i="1" l="1"/>
  <c r="E222" i="1" s="1"/>
  <c r="D221" i="1"/>
  <c r="C223" i="1" l="1"/>
  <c r="E223" i="1" s="1"/>
  <c r="D222" i="1"/>
  <c r="D223" i="1" l="1"/>
  <c r="C224" i="1"/>
  <c r="E224" i="1" s="1"/>
  <c r="D224" i="1" l="1"/>
  <c r="C225" i="1"/>
  <c r="E225" i="1" s="1"/>
  <c r="D225" i="1" l="1"/>
  <c r="C226" i="1"/>
  <c r="E226" i="1" s="1"/>
  <c r="C227" i="1" l="1"/>
  <c r="E227" i="1" s="1"/>
  <c r="D226" i="1"/>
  <c r="D227" i="1" l="1"/>
  <c r="C228" i="1"/>
  <c r="E228" i="1" s="1"/>
  <c r="C229" i="1" l="1"/>
  <c r="E229" i="1" s="1"/>
  <c r="D228" i="1"/>
  <c r="D229" i="1" l="1"/>
  <c r="C230" i="1"/>
  <c r="E230" i="1" s="1"/>
  <c r="C231" i="1" l="1"/>
  <c r="E231" i="1" s="1"/>
  <c r="D230" i="1"/>
  <c r="D231" i="1" l="1"/>
  <c r="C232" i="1"/>
  <c r="E232" i="1" s="1"/>
  <c r="D232" i="1" l="1"/>
  <c r="C233" i="1"/>
  <c r="E233" i="1" s="1"/>
  <c r="D233" i="1" l="1"/>
  <c r="C234" i="1"/>
  <c r="E234" i="1" s="1"/>
  <c r="D234" i="1" l="1"/>
  <c r="C235" i="1"/>
  <c r="E235" i="1" s="1"/>
  <c r="C236" i="1" l="1"/>
  <c r="E236" i="1" s="1"/>
  <c r="D235" i="1"/>
  <c r="C237" i="1" l="1"/>
  <c r="E237" i="1" s="1"/>
  <c r="D236" i="1"/>
  <c r="D237" i="1" l="1"/>
  <c r="C238" i="1"/>
  <c r="E238" i="1" s="1"/>
  <c r="C239" i="1" l="1"/>
  <c r="E239" i="1" s="1"/>
  <c r="D238" i="1"/>
  <c r="D239" i="1" l="1"/>
  <c r="C240" i="1"/>
  <c r="E240" i="1" s="1"/>
  <c r="C241" i="1" l="1"/>
  <c r="E241" i="1" s="1"/>
  <c r="D240" i="1"/>
  <c r="D241" i="1" l="1"/>
  <c r="C242" i="1"/>
  <c r="E242" i="1" s="1"/>
  <c r="C243" i="1" l="1"/>
  <c r="E243" i="1" s="1"/>
  <c r="D242" i="1"/>
  <c r="C244" i="1" l="1"/>
  <c r="E244" i="1" s="1"/>
  <c r="D243" i="1"/>
  <c r="D244" i="1" l="1"/>
  <c r="C245" i="1"/>
  <c r="E245" i="1" s="1"/>
  <c r="D245" i="1" l="1"/>
  <c r="C246" i="1"/>
  <c r="E246" i="1" s="1"/>
  <c r="C247" i="1" l="1"/>
  <c r="E247" i="1" s="1"/>
  <c r="D246" i="1"/>
  <c r="D247" i="1" l="1"/>
  <c r="C248" i="1"/>
  <c r="E248" i="1" s="1"/>
  <c r="D248" i="1" l="1"/>
  <c r="C249" i="1"/>
  <c r="E249" i="1" s="1"/>
  <c r="C250" i="1" l="1"/>
  <c r="E250" i="1" s="1"/>
  <c r="D249" i="1"/>
  <c r="D250" i="1" l="1"/>
  <c r="C251" i="1"/>
  <c r="E251" i="1" s="1"/>
  <c r="D251" i="1" l="1"/>
  <c r="C252" i="1"/>
  <c r="E252" i="1" s="1"/>
  <c r="D252" i="1" l="1"/>
  <c r="C253" i="1"/>
  <c r="E253" i="1" s="1"/>
  <c r="C254" i="1" l="1"/>
  <c r="E254" i="1" s="1"/>
  <c r="D253" i="1"/>
  <c r="C255" i="1" l="1"/>
  <c r="E255" i="1" s="1"/>
  <c r="D254" i="1"/>
  <c r="D255" i="1" l="1"/>
  <c r="C256" i="1"/>
  <c r="E256" i="1" s="1"/>
  <c r="C257" i="1" l="1"/>
  <c r="E257" i="1" s="1"/>
  <c r="D256" i="1"/>
  <c r="D257" i="1" l="1"/>
  <c r="C258" i="1"/>
  <c r="E258" i="1" s="1"/>
  <c r="C259" i="1" l="1"/>
  <c r="E259" i="1" s="1"/>
  <c r="D258" i="1"/>
  <c r="D259" i="1" l="1"/>
  <c r="C260" i="1"/>
  <c r="E260" i="1" s="1"/>
  <c r="C261" i="1" l="1"/>
  <c r="E261" i="1" s="1"/>
  <c r="D260" i="1"/>
  <c r="D261" i="1" l="1"/>
  <c r="C262" i="1"/>
  <c r="E262" i="1" s="1"/>
  <c r="C263" i="1" l="1"/>
  <c r="E263" i="1" s="1"/>
  <c r="D262" i="1"/>
  <c r="D263" i="1" l="1"/>
  <c r="C264" i="1"/>
  <c r="E264" i="1" s="1"/>
  <c r="D264" i="1" l="1"/>
  <c r="C265" i="1"/>
  <c r="E265" i="1" s="1"/>
  <c r="D265" i="1" l="1"/>
  <c r="C266" i="1"/>
  <c r="E266" i="1" s="1"/>
  <c r="D266" i="1" l="1"/>
  <c r="C267" i="1"/>
  <c r="E267" i="1" s="1"/>
  <c r="D267" i="1" l="1"/>
  <c r="C268" i="1"/>
  <c r="E268" i="1" s="1"/>
  <c r="C269" i="1" l="1"/>
  <c r="E269" i="1" s="1"/>
  <c r="D268" i="1"/>
  <c r="C270" i="1" l="1"/>
  <c r="E270" i="1" s="1"/>
  <c r="D269" i="1"/>
  <c r="C271" i="1" l="1"/>
  <c r="E271" i="1" s="1"/>
  <c r="D270" i="1"/>
  <c r="D271" i="1" l="1"/>
  <c r="C272" i="1"/>
  <c r="E272" i="1" s="1"/>
  <c r="D272" i="1" l="1"/>
  <c r="C273" i="1"/>
  <c r="E273" i="1" s="1"/>
  <c r="C274" i="1" l="1"/>
  <c r="E274" i="1" s="1"/>
  <c r="D273" i="1"/>
  <c r="D274" i="1" l="1"/>
  <c r="C275" i="1"/>
  <c r="E275" i="1" s="1"/>
  <c r="D275" i="1" l="1"/>
  <c r="C276" i="1"/>
  <c r="E276" i="1" s="1"/>
  <c r="D276" i="1" l="1"/>
  <c r="C277" i="1"/>
  <c r="E277" i="1" s="1"/>
  <c r="C278" i="1" l="1"/>
  <c r="E278" i="1" s="1"/>
  <c r="D277" i="1"/>
  <c r="C279" i="1" l="1"/>
  <c r="E279" i="1" s="1"/>
  <c r="D278" i="1"/>
  <c r="D279" i="1" l="1"/>
  <c r="C280" i="1"/>
  <c r="E280" i="1" s="1"/>
  <c r="C281" i="1" l="1"/>
  <c r="E281" i="1" s="1"/>
  <c r="D280" i="1"/>
  <c r="C282" i="1" l="1"/>
  <c r="E282" i="1" s="1"/>
  <c r="D281" i="1"/>
  <c r="C283" i="1" l="1"/>
  <c r="E283" i="1" s="1"/>
  <c r="D282" i="1"/>
  <c r="D283" i="1" l="1"/>
  <c r="C284" i="1"/>
  <c r="E284" i="1" s="1"/>
  <c r="D284" i="1" l="1"/>
  <c r="C285" i="1"/>
  <c r="E285" i="1" s="1"/>
  <c r="D285" i="1" l="1"/>
  <c r="C286" i="1"/>
  <c r="E286" i="1" s="1"/>
  <c r="C287" i="1" l="1"/>
  <c r="E287" i="1" s="1"/>
  <c r="D286" i="1"/>
  <c r="D287" i="1" l="1"/>
  <c r="C288" i="1"/>
  <c r="E288" i="1" s="1"/>
  <c r="D288" i="1" l="1"/>
  <c r="C289" i="1"/>
  <c r="E289" i="1" s="1"/>
  <c r="D289" i="1" l="1"/>
  <c r="C290" i="1"/>
  <c r="E290" i="1" s="1"/>
  <c r="D290" i="1" l="1"/>
  <c r="C291" i="1"/>
  <c r="E291" i="1" s="1"/>
  <c r="D291" i="1" l="1"/>
  <c r="C292" i="1"/>
  <c r="E292" i="1" s="1"/>
  <c r="C293" i="1" l="1"/>
  <c r="E293" i="1" s="1"/>
  <c r="D292" i="1"/>
  <c r="D293" i="1" l="1"/>
  <c r="C294" i="1"/>
  <c r="E294" i="1" s="1"/>
  <c r="C295" i="1" l="1"/>
  <c r="E295" i="1" s="1"/>
  <c r="D294" i="1"/>
  <c r="D295" i="1" l="1"/>
  <c r="C296" i="1"/>
  <c r="E296" i="1" s="1"/>
  <c r="C297" i="1" l="1"/>
  <c r="E297" i="1" s="1"/>
  <c r="D296" i="1"/>
  <c r="D297" i="1" l="1"/>
  <c r="C298" i="1"/>
  <c r="E298" i="1" s="1"/>
  <c r="C299" i="1" l="1"/>
  <c r="E299" i="1" s="1"/>
  <c r="D298" i="1"/>
  <c r="D299" i="1" l="1"/>
  <c r="C300" i="1"/>
  <c r="E300" i="1" s="1"/>
  <c r="D300" i="1" l="1"/>
  <c r="C301" i="1"/>
  <c r="E301" i="1" s="1"/>
  <c r="C302" i="1" l="1"/>
  <c r="E302" i="1" s="1"/>
  <c r="D301" i="1"/>
  <c r="C303" i="1" l="1"/>
  <c r="E303" i="1" s="1"/>
  <c r="D302" i="1"/>
  <c r="D303" i="1" l="1"/>
  <c r="C304" i="1"/>
  <c r="E304" i="1" s="1"/>
  <c r="D304" i="1" l="1"/>
  <c r="C305" i="1"/>
  <c r="E305" i="1" s="1"/>
  <c r="D305" i="1" l="1"/>
  <c r="C306" i="1"/>
  <c r="E306" i="1" s="1"/>
  <c r="C307" i="1" l="1"/>
  <c r="E307" i="1" s="1"/>
  <c r="D306" i="1"/>
  <c r="D307" i="1" l="1"/>
  <c r="C308" i="1"/>
  <c r="E308" i="1" s="1"/>
  <c r="C309" i="1" l="1"/>
  <c r="E309" i="1" s="1"/>
  <c r="D308" i="1"/>
  <c r="D309" i="1" l="1"/>
  <c r="C310" i="1"/>
  <c r="E310" i="1" s="1"/>
  <c r="C311" i="1" l="1"/>
  <c r="E311" i="1" s="1"/>
  <c r="D310" i="1"/>
  <c r="D311" i="1" l="1"/>
  <c r="C312" i="1"/>
  <c r="E312" i="1" s="1"/>
  <c r="C313" i="1" l="1"/>
  <c r="E313" i="1" s="1"/>
  <c r="D312" i="1"/>
  <c r="C314" i="1" l="1"/>
  <c r="E314" i="1" s="1"/>
  <c r="D313" i="1"/>
  <c r="D314" i="1" l="1"/>
  <c r="C315" i="1"/>
  <c r="E315" i="1" s="1"/>
  <c r="C316" i="1" l="1"/>
  <c r="E316" i="1" s="1"/>
  <c r="D315" i="1"/>
  <c r="D316" i="1" l="1"/>
  <c r="C317" i="1"/>
  <c r="E317" i="1" s="1"/>
  <c r="D317" i="1" l="1"/>
  <c r="C318" i="1"/>
  <c r="D318" i="1" l="1"/>
  <c r="E318" i="1"/>
  <c r="G36" i="1" s="1"/>
  <c r="H36" i="1" s="1"/>
  <c r="H37" i="1" s="1"/>
  <c r="F29" i="1"/>
</calcChain>
</file>

<file path=xl/sharedStrings.xml><?xml version="1.0" encoding="utf-8"?>
<sst xmlns="http://schemas.openxmlformats.org/spreadsheetml/2006/main" count="334" uniqueCount="269">
  <si>
    <t>g</t>
  </si>
  <si>
    <r>
      <rPr>
        <sz val="13"/>
        <color theme="1"/>
        <rFont val="Calibri"/>
        <family val="2"/>
        <scheme val="minor"/>
      </rPr>
      <t>D</t>
    </r>
    <r>
      <rPr>
        <sz val="8"/>
        <color theme="1"/>
        <rFont val="Calibri"/>
        <family val="2"/>
        <scheme val="minor"/>
      </rPr>
      <t xml:space="preserve">0  </t>
    </r>
    <r>
      <rPr>
        <sz val="11"/>
        <color theme="1"/>
        <rFont val="Calibri"/>
        <family val="2"/>
        <scheme val="minor"/>
      </rPr>
      <t>=</t>
    </r>
  </si>
  <si>
    <r>
      <rPr>
        <sz val="13"/>
        <color theme="1"/>
        <rFont val="Calibri"/>
        <family val="2"/>
        <scheme val="minor"/>
      </rPr>
      <t>P</t>
    </r>
    <r>
      <rPr>
        <sz val="8"/>
        <color theme="1"/>
        <rFont val="Calibri"/>
        <family val="2"/>
        <scheme val="minor"/>
      </rPr>
      <t xml:space="preserve">0  </t>
    </r>
    <r>
      <rPr>
        <sz val="11"/>
        <color theme="1"/>
        <rFont val="Calibri"/>
        <family val="2"/>
        <scheme val="minor"/>
      </rPr>
      <t>=</t>
    </r>
  </si>
  <si>
    <t>g  =</t>
  </si>
  <si>
    <r>
      <rPr>
        <sz val="13"/>
        <color theme="1"/>
        <rFont val="Calibri"/>
        <family val="2"/>
        <scheme val="minor"/>
      </rPr>
      <t>r</t>
    </r>
    <r>
      <rPr>
        <sz val="8"/>
        <color theme="1"/>
        <rFont val="Calibri"/>
        <family val="2"/>
        <scheme val="minor"/>
      </rPr>
      <t xml:space="preserve">s </t>
    </r>
    <r>
      <rPr>
        <sz val="11"/>
        <color theme="1"/>
        <rFont val="Calibri"/>
        <family val="2"/>
        <scheme val="minor"/>
      </rPr>
      <t xml:space="preserve"> =</t>
    </r>
  </si>
  <si>
    <t>Resultados Pronosticados</t>
  </si>
  <si>
    <t>infinito</t>
  </si>
  <si>
    <t>Suma</t>
  </si>
  <si>
    <t>Dividendos</t>
  </si>
  <si>
    <t>Precio</t>
  </si>
  <si>
    <t>dividendos</t>
  </si>
  <si>
    <t>de los</t>
  </si>
  <si>
    <t>de capital</t>
  </si>
  <si>
    <t>total</t>
  </si>
  <si>
    <t>VA de los</t>
  </si>
  <si>
    <t>Rendimiento</t>
  </si>
  <si>
    <t>Al final del</t>
  </si>
  <si>
    <t>Año</t>
  </si>
  <si>
    <t>de la ganancia</t>
  </si>
  <si>
    <t>ROE</t>
  </si>
  <si>
    <t>Capital</t>
  </si>
  <si>
    <t>Dividendos como % gcia</t>
  </si>
  <si>
    <t>Tasa requrida de rendimiento</t>
  </si>
  <si>
    <t>Años</t>
  </si>
  <si>
    <t>Ejercicio 1</t>
  </si>
  <si>
    <t>Ejercicio 2</t>
  </si>
  <si>
    <t>Tasa de rendimiento</t>
  </si>
  <si>
    <r>
      <t>D</t>
    </r>
    <r>
      <rPr>
        <sz val="8"/>
        <color theme="1"/>
        <rFont val="Calibri"/>
        <family val="2"/>
        <scheme val="minor"/>
      </rPr>
      <t>0</t>
    </r>
  </si>
  <si>
    <t>g constante</t>
  </si>
  <si>
    <t>Primeros 3 años g</t>
  </si>
  <si>
    <t>Años 4 al 6 g</t>
  </si>
  <si>
    <t>Tasa de Crecimiento de Ventas</t>
  </si>
  <si>
    <t>Costos de operación como % de las Ventas</t>
  </si>
  <si>
    <t>Crecimiento en activo fijo neto</t>
  </si>
  <si>
    <t>Crecimiento en el NOWC</t>
  </si>
  <si>
    <t>Depreciación como % de Capital de Operación</t>
  </si>
  <si>
    <t>WACC</t>
  </si>
  <si>
    <t>Crecimiento del FCF a largo plazo</t>
  </si>
  <si>
    <t>Tasa impositiva</t>
  </si>
  <si>
    <t xml:space="preserve">Pronóstico de flujos de efectivo </t>
  </si>
  <si>
    <t>Ventas</t>
  </si>
  <si>
    <t>Costos de Operación</t>
  </si>
  <si>
    <t>EBIT</t>
  </si>
  <si>
    <t>EBIT * (1-T)</t>
  </si>
  <si>
    <t>EBIT * (1-T) + DEP</t>
  </si>
  <si>
    <t>Depreciación (DEP)</t>
  </si>
  <si>
    <t>Activo Fijo Neto</t>
  </si>
  <si>
    <t>NOWC</t>
  </si>
  <si>
    <t>Capital de Operación total</t>
  </si>
  <si>
    <t>CAPEX neto = cambio en activo fijo neto</t>
  </si>
  <si>
    <t>CAPEX = erogaciones brutas de capital</t>
  </si>
  <si>
    <t>CAPEX = CAPEX neto + DEP</t>
  </si>
  <si>
    <t>∆NOWC</t>
  </si>
  <si>
    <t>VA del FCF</t>
  </si>
  <si>
    <t>Histórico</t>
  </si>
  <si>
    <t>Años pronosticados</t>
  </si>
  <si>
    <t>FCF = EBIT*(1-T) + DEP - CAPEX - ∆NOWC</t>
  </si>
  <si>
    <t>Acciones Circulantes en millones</t>
  </si>
  <si>
    <t>Valor horizonte</t>
  </si>
  <si>
    <t>Valor horizonte, calculado al 2023</t>
  </si>
  <si>
    <t>FCF 2024</t>
  </si>
  <si>
    <t>VH en 2023</t>
  </si>
  <si>
    <t>VA a 2018 del VH en 2023</t>
  </si>
  <si>
    <t>Cálculo del Valor Intrínseco de la Empresa a 2018</t>
  </si>
  <si>
    <t>Suma VA a 2018 de los FCF 2019-2023</t>
  </si>
  <si>
    <t>Valor de Mercado de los Activos No Operativos</t>
  </si>
  <si>
    <t>Ver Balance de Allied 2018</t>
  </si>
  <si>
    <t>Valor intrínseco de las acciones comunes</t>
  </si>
  <si>
    <t>Acciones Circulantes</t>
  </si>
  <si>
    <t>Acciones Circulantes (en millones)</t>
  </si>
  <si>
    <t>Valor intrínseco por acción</t>
  </si>
  <si>
    <t>AE 2</t>
  </si>
  <si>
    <t>Precio vigente de las acciones</t>
  </si>
  <si>
    <t>Último dividendo pagado</t>
  </si>
  <si>
    <t>Tasa de rendimiento requrida</t>
  </si>
  <si>
    <t>Se espera que los dividendos crezcan a una tasa constante "g" y que se mantenga la tasa requerida en el 12%</t>
  </si>
  <si>
    <t>¿Cuál será el precio esperado de la acción dentro de 5 años?</t>
  </si>
  <si>
    <t>El rendimiento de una acción es igual a D/P + g</t>
  </si>
  <si>
    <t xml:space="preserve">Si está en equilibrio, </t>
  </si>
  <si>
    <t>P0 = D0 * (1+g) / (r - g)</t>
  </si>
  <si>
    <t>r-g = D0/P0 * (1+g)</t>
  </si>
  <si>
    <t>,12 - g = 2,4/36 +2,4/36 * g</t>
  </si>
  <si>
    <t>,12 -2,4/36 = g * (1+2,4/36)</t>
  </si>
  <si>
    <t>D6</t>
  </si>
  <si>
    <t>P5</t>
  </si>
  <si>
    <t>Pero como hemos visto, el precio de una acción de crecimiento constante crece al mismo porcentaje</t>
  </si>
  <si>
    <t>Entonces P5 es P0 * (1+g)^5 = 36*1,05^5</t>
  </si>
  <si>
    <t>AE 3</t>
  </si>
  <si>
    <t>VALUACIÓN DE UNA ACCIÓN DE CRECIMIENTO CONSTANTE</t>
  </si>
  <si>
    <t>VALUACIÓN DE UNA ACCIÓN DE CRECIMIENTO NO CONSTANTE</t>
  </si>
  <si>
    <t>Primeros dos  años a un crecimiento del 15%, luego un año al 13% y luego un crecimiento constante del 6%</t>
  </si>
  <si>
    <t>El último dividendo fue de 1,15 y su tasa requerida es del 12%</t>
  </si>
  <si>
    <t>a</t>
  </si>
  <si>
    <t>Precio de la acción hoy</t>
  </si>
  <si>
    <t>VA</t>
  </si>
  <si>
    <t>VA de P3</t>
  </si>
  <si>
    <t>P3</t>
  </si>
  <si>
    <t>b</t>
  </si>
  <si>
    <t>Calcule P1 y P2 estimados</t>
  </si>
  <si>
    <t>P0</t>
  </si>
  <si>
    <t>P1</t>
  </si>
  <si>
    <t>P2</t>
  </si>
  <si>
    <t>c</t>
  </si>
  <si>
    <t>Calcule los rendimientos de los dividendos y de las ganancias de capital para los años 1, 2 y 3</t>
  </si>
  <si>
    <t>Dividendo</t>
  </si>
  <si>
    <t>Div</t>
  </si>
  <si>
    <t>Gcia Cap</t>
  </si>
  <si>
    <t>Total</t>
  </si>
  <si>
    <t>AE 4</t>
  </si>
  <si>
    <t>La empresa no paga dividendos ni planea hacerlo pronto</t>
  </si>
  <si>
    <t>FCF estimados para los próximos tres años</t>
  </si>
  <si>
    <t>MM</t>
  </si>
  <si>
    <t>El WACC es del</t>
  </si>
  <si>
    <t xml:space="preserve">Luego se estima un crecimiento de </t>
  </si>
  <si>
    <t>constante</t>
  </si>
  <si>
    <t>La empresa tiene activos no operativos por</t>
  </si>
  <si>
    <t>Valor de mercado de su Deuda y Preferentes</t>
  </si>
  <si>
    <t>Cuál es la estimación del precio de la acción?</t>
  </si>
  <si>
    <t>VA de P3 a hoy</t>
  </si>
  <si>
    <t>Valor operativo</t>
  </si>
  <si>
    <t>Valor Activos no operativos</t>
  </si>
  <si>
    <t>Deuda y Preferentes</t>
  </si>
  <si>
    <t>Valor a hoy</t>
  </si>
  <si>
    <t>9-2</t>
  </si>
  <si>
    <t>CRECIMIENTO CONSTANTE</t>
  </si>
  <si>
    <t>Próximo dividendo esperado</t>
  </si>
  <si>
    <t>tasa requerida</t>
  </si>
  <si>
    <t>Valor actual de la acción</t>
  </si>
  <si>
    <t>9-4</t>
  </si>
  <si>
    <t>CRECIMIENTO NO CONSTANTE</t>
  </si>
  <si>
    <t>Último dividendo</t>
  </si>
  <si>
    <t>Crecimiento dos años</t>
  </si>
  <si>
    <t>¿Qué tan lejos está la fecha horizonte?</t>
  </si>
  <si>
    <t>Fin del año 2</t>
  </si>
  <si>
    <t>No es el VA</t>
  </si>
  <si>
    <t>Valor intrínseco de la empresa hoy</t>
  </si>
  <si>
    <t>9-6</t>
  </si>
  <si>
    <t>VALUACIÓN DE ACCIONES PREFERENTES</t>
  </si>
  <si>
    <t>Son perpetuas</t>
  </si>
  <si>
    <t xml:space="preserve">Se venden a </t>
  </si>
  <si>
    <t>¿Cuál es la tasa requerida?</t>
  </si>
  <si>
    <t>9-8</t>
  </si>
  <si>
    <t>Perpetuas</t>
  </si>
  <si>
    <t>VN</t>
  </si>
  <si>
    <t>Rinde actualmente</t>
  </si>
  <si>
    <t>Valor de la Acción</t>
  </si>
  <si>
    <t>Cuánto pasaría a ser su precio si la tasa requerida subiera al 9%</t>
  </si>
  <si>
    <t>9-10</t>
  </si>
  <si>
    <t>VALUACIÓN DE UNA ACCIÓN DE CRECIMIENTO DECLINANTE</t>
  </si>
  <si>
    <t>Empresa minera, sus reservas se agotan y sus ventas van a la baja</t>
  </si>
  <si>
    <t>Como hay que ir más profundo cada año en la mina, los costos aumentan</t>
  </si>
  <si>
    <t>La tasa de declinación de las ganancias y dividendos es de 6% anual</t>
  </si>
  <si>
    <t>Si el último dividendo pagado fue de $3 y la tasa requerida es del 10%</t>
  </si>
  <si>
    <t>¿Cuál es el valor actual de sus acciones?</t>
  </si>
  <si>
    <t>D1 / (r - g)</t>
  </si>
  <si>
    <t>9-12</t>
  </si>
  <si>
    <t>Tasa requerida</t>
  </si>
  <si>
    <t>Valor de la acción si g vale</t>
  </si>
  <si>
    <t>Si la tasa de crecimiento esperado iguala o supera a la de rendimiento requerido no se</t>
  </si>
  <si>
    <t>puede aplicar la fórmula de Gordon</t>
  </si>
  <si>
    <t>¿Es razonable que en una acción de crecimiento constante la tasa g supere a la de rendimiento requerido?</t>
  </si>
  <si>
    <t>Si el crecimiento es muy alto es difícil que no suba como reflejo del mayor riesgo la tasa requerida. Su valor sería infinito</t>
  </si>
  <si>
    <t>9-14</t>
  </si>
  <si>
    <t>Dividendo esperado dentro de 3 años</t>
  </si>
  <si>
    <t>Actualmente no paga dividendos</t>
  </si>
  <si>
    <t>Crecimiento esperado para los años 4 y 5</t>
  </si>
  <si>
    <t>Luego g constante</t>
  </si>
  <si>
    <t>Rendimiento requerido</t>
  </si>
  <si>
    <t>¿Cuál es el precio actual?</t>
  </si>
  <si>
    <t>9-16</t>
  </si>
  <si>
    <t>Precio de las acciones</t>
  </si>
  <si>
    <t>crecimiento próximos 3 años</t>
  </si>
  <si>
    <t>Tasa de rendimiento requerida</t>
  </si>
  <si>
    <t>?????</t>
  </si>
  <si>
    <t>VA de P3 como diferencia entre P0 y los</t>
  </si>
  <si>
    <t>primeros 3 años de crecimiento desigual</t>
  </si>
  <si>
    <t>D1</t>
  </si>
  <si>
    <t>D2</t>
  </si>
  <si>
    <t>D3</t>
  </si>
  <si>
    <t>r P3 - g P3 = D3 + g D3</t>
  </si>
  <si>
    <t>r P3 - D3 = g (D3+P3)</t>
  </si>
  <si>
    <t>VA en 0 de P3</t>
  </si>
  <si>
    <t>P3 = D3 + g D3 / (r - g)</t>
  </si>
  <si>
    <t>g = (r P3 - D3) / (D3 + P3)</t>
  </si>
  <si>
    <t>9-20</t>
  </si>
  <si>
    <t>MODELO DE VALUACIÓN CORPORATIVA</t>
  </si>
  <si>
    <t>Estamos a 31-12-2018 y la información de la compañía es la siguiente</t>
  </si>
  <si>
    <t>Se espera que los ingresos de operaciones después de impuestos sean de 400MM en 2019</t>
  </si>
  <si>
    <t>EBIT*(1-T)</t>
  </si>
  <si>
    <t>D&amp;A en 2019 sea 140 MM</t>
  </si>
  <si>
    <t>Erogaciones de capital en 2019 sean de 225MM</t>
  </si>
  <si>
    <t>El NOWC se mantendría constante</t>
  </si>
  <si>
    <t>Se espera que el crecimiento del FCF sea 6% constante</t>
  </si>
  <si>
    <t>El rendimiento requerido de las acciones es del 14%</t>
  </si>
  <si>
    <t>El WACC es del 10%</t>
  </si>
  <si>
    <t>La empresa tiene activos no operativos por 200MM</t>
  </si>
  <si>
    <t>El valor de mercado de la deuda es de 3.875MM</t>
  </si>
  <si>
    <t>Acciones circulantes: 200MM</t>
  </si>
  <si>
    <t>¿Cuál debiera ser el valor de las acciones al día de hoy según el modelo  de valuación corporativa?</t>
  </si>
  <si>
    <t>FCF 2019</t>
  </si>
  <si>
    <t>No participa</t>
  </si>
  <si>
    <t>EBIT*(1-T)+DEP-Erogaciones de Capital - Variación del NOWC</t>
  </si>
  <si>
    <t>Divido FCF1 por la diferencia entre tasa requerida y g</t>
  </si>
  <si>
    <t>Sumo los activos no operativos y resto el valor de la deuda</t>
  </si>
  <si>
    <t>Divido por el número de acciones circulantes</t>
  </si>
  <si>
    <t>Rendimiento esperado</t>
  </si>
  <si>
    <t>Crecimiento Esperado</t>
  </si>
  <si>
    <t>Precio a hoy en equilibrio</t>
  </si>
  <si>
    <t>Tasa libre de riesgo</t>
  </si>
  <si>
    <t>RP del Mercado</t>
  </si>
  <si>
    <t>Coeficiente beta de la Acción</t>
  </si>
  <si>
    <t>Precio de la Acción</t>
  </si>
  <si>
    <t>Original</t>
  </si>
  <si>
    <t>Nuevo</t>
  </si>
  <si>
    <t>VA al Mto 0</t>
  </si>
  <si>
    <t>Dt</t>
  </si>
  <si>
    <t>Dn+1/(rs-0,04) / (1+rs)^6</t>
  </si>
  <si>
    <t>Dn+1/(rs-0,04) / (1+rs)^3</t>
  </si>
  <si>
    <t>OTRA FORMA DE RESOLVERLO</t>
  </si>
  <si>
    <t xml:space="preserve">P3 en Mto 0, con supra crecimiento </t>
  </si>
  <si>
    <t xml:space="preserve">P0 en Mto 0, con supra crecimiento </t>
  </si>
  <si>
    <t>P3 en Mto 0, con crecimiento normal</t>
  </si>
  <si>
    <t>NO PAGARÁ DIVIDENDOS EN LOS PRIMEROS 5 AÑOS</t>
  </si>
  <si>
    <t>DESPUÉS</t>
  </si>
  <si>
    <t>6TO</t>
  </si>
  <si>
    <t>7MO</t>
  </si>
  <si>
    <t>8VO</t>
  </si>
  <si>
    <t>9NO</t>
  </si>
  <si>
    <t>10MO</t>
  </si>
  <si>
    <t>LUEGO</t>
  </si>
  <si>
    <t>RENDIMIENTO EXIGIDO</t>
  </si>
  <si>
    <t xml:space="preserve">CRECIMIENTO DEL </t>
  </si>
  <si>
    <t>Allied</t>
  </si>
  <si>
    <r>
      <t>Valor Corporativo</t>
    </r>
    <r>
      <rPr>
        <b/>
        <u/>
        <sz val="11"/>
        <color theme="1"/>
        <rFont val="Calibri"/>
        <family val="2"/>
        <scheme val="minor"/>
      </rPr>
      <t xml:space="preserve"> Total</t>
    </r>
  </si>
  <si>
    <t>Menos valor de Mercado de Deuda y Preferentes</t>
  </si>
  <si>
    <t>Activos</t>
  </si>
  <si>
    <t>Activo Circulante</t>
  </si>
  <si>
    <t>Efectivo y Equivalentes</t>
  </si>
  <si>
    <t>Cuentas por Cobrar</t>
  </si>
  <si>
    <t>Inventarios</t>
  </si>
  <si>
    <t>Efectivo Excedente</t>
  </si>
  <si>
    <t>Activo Circulante Total</t>
  </si>
  <si>
    <t>Planta y Equipo Netos de depreciación</t>
  </si>
  <si>
    <t>Otros Activos LP</t>
  </si>
  <si>
    <t>Activo Fijo Total</t>
  </si>
  <si>
    <t>Activo Contable</t>
  </si>
  <si>
    <t>Pasivos y Capital</t>
  </si>
  <si>
    <t>Pasivo Circulante</t>
  </si>
  <si>
    <t>Cuentas por Pagar</t>
  </si>
  <si>
    <t>Acumulaciones</t>
  </si>
  <si>
    <t>Obligaciones por Pagar</t>
  </si>
  <si>
    <t>Pasivo Circulante Total</t>
  </si>
  <si>
    <t>Capital Operativo Neto</t>
  </si>
  <si>
    <t>Deuda a Largo Plazo</t>
  </si>
  <si>
    <t>Activo Circ. Oper - Pasivo Circ. Oper.</t>
  </si>
  <si>
    <t>Bonos a LP</t>
  </si>
  <si>
    <t>Pasivo Contable</t>
  </si>
  <si>
    <t>Capital Contable</t>
  </si>
  <si>
    <t>Cantidad</t>
  </si>
  <si>
    <t>Acciones Comunes</t>
  </si>
  <si>
    <t>Ganancias Retenidas</t>
  </si>
  <si>
    <t>Capital Contable Total</t>
  </si>
  <si>
    <t>Valor Contable por Acción</t>
  </si>
  <si>
    <t>Pasivos y Capital Totales</t>
  </si>
  <si>
    <t>Precio de las Acciones Comunes - MERCADO</t>
  </si>
  <si>
    <t>=</t>
  </si>
  <si>
    <t>(r - 0,06)</t>
  </si>
  <si>
    <t>r</t>
  </si>
  <si>
    <t>2/40 + 0,06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</si>
</sst>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%"/>
    <numFmt numFmtId="165" formatCode="0.000%"/>
    <numFmt numFmtId="166" formatCode="_-&quot;$&quot;\ * #,##0.000_-;\-&quot;$&quot;\ * #,##0.000_-;_-&quot;$&quot;\ * &quot;-&quot;??_-;_-@_-"/>
    <numFmt numFmtId="167" formatCode="_-&quot;$&quot;\ * #,##0.0000_-;\-&quot;$&quot;\ * #,##0.0000_-;_-&quot;$&quot;\ * &quot;-&quot;??_-;_-@_-"/>
    <numFmt numFmtId="168" formatCode="_-&quot;$&quot;\ * #,##0.000000_-;\-&quot;$&quot;\ * #,##0.000000_-;_-&quot;$&quot;\ * &quot;-&quot;??_-;_-@_-"/>
    <numFmt numFmtId="169" formatCode="_-&quot;$&quot;\ * #,##0.0_-;\-&quot;$&quot;\ * #,##0.0_-;_-&quot;$&quot;\ * &quot;-&quot;??_-;_-@_-"/>
    <numFmt numFmtId="170" formatCode="_-&quot;$&quot;\ * #,##0.0_-;\-&quot;$&quot;\ * #,##0.0_-;_-&quot;$&quot;\ * &quot;-&quot;?_-;_-@_-"/>
    <numFmt numFmtId="171" formatCode="_-&quot;$&quot;\ * #,##0.00_-;\-&quot;$&quot;\ * #,##0.00_-;_-&quot;$&quot;\ * &quot;-&quot;?_-;_-@_-"/>
    <numFmt numFmtId="172" formatCode="0.000"/>
    <numFmt numFmtId="173" formatCode="_-* #,##0.000_-;\-* #,##0.000_-;_-* &quot;-&quot;??_-;_-@_-"/>
    <numFmt numFmtId="174" formatCode="_-* #,##0.000_-;\-* #,##0.000_-;_-* &quot;-&quot;???_-;_-@_-"/>
    <numFmt numFmtId="17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44" fontId="0" fillId="0" borderId="0" xfId="2" applyFont="1"/>
    <xf numFmtId="44" fontId="0" fillId="0" borderId="0" xfId="0" applyNumberFormat="1"/>
    <xf numFmtId="10" fontId="0" fillId="0" borderId="0" xfId="3" applyNumberFormat="1" applyFont="1"/>
    <xf numFmtId="165" fontId="0" fillId="0" borderId="0" xfId="3" applyNumberFormat="1" applyFont="1"/>
    <xf numFmtId="10" fontId="0" fillId="0" borderId="0" xfId="0" applyNumberFormat="1"/>
    <xf numFmtId="0" fontId="0" fillId="2" borderId="0" xfId="0" applyFill="1"/>
    <xf numFmtId="166" fontId="0" fillId="0" borderId="0" xfId="2" applyNumberFormat="1" applyFont="1"/>
    <xf numFmtId="167" fontId="0" fillId="0" borderId="0" xfId="2" applyNumberFormat="1" applyFont="1"/>
    <xf numFmtId="44" fontId="0" fillId="2" borderId="0" xfId="2" applyFont="1" applyFill="1"/>
    <xf numFmtId="168" fontId="0" fillId="2" borderId="0" xfId="2" applyNumberFormat="1" applyFont="1" applyFill="1"/>
    <xf numFmtId="167" fontId="0" fillId="0" borderId="0" xfId="0" applyNumberFormat="1"/>
    <xf numFmtId="168" fontId="0" fillId="0" borderId="0" xfId="0" applyNumberFormat="1"/>
    <xf numFmtId="164" fontId="0" fillId="0" borderId="0" xfId="3" applyNumberFormat="1" applyFont="1" applyAlignment="1">
      <alignment horizontal="center"/>
    </xf>
    <xf numFmtId="44" fontId="0" fillId="0" borderId="0" xfId="2" applyFont="1" applyAlignment="1">
      <alignment horizontal="center"/>
    </xf>
    <xf numFmtId="9" fontId="0" fillId="0" borderId="0" xfId="3" applyFont="1" applyAlignment="1">
      <alignment horizontal="center"/>
    </xf>
    <xf numFmtId="43" fontId="0" fillId="0" borderId="0" xfId="1" applyFont="1"/>
    <xf numFmtId="43" fontId="0" fillId="0" borderId="0" xfId="0" applyNumberFormat="1"/>
    <xf numFmtId="0" fontId="4" fillId="0" borderId="0" xfId="0" applyFont="1"/>
    <xf numFmtId="169" fontId="0" fillId="0" borderId="0" xfId="2" applyNumberFormat="1" applyFont="1"/>
    <xf numFmtId="170" fontId="0" fillId="0" borderId="0" xfId="0" applyNumberFormat="1"/>
    <xf numFmtId="171" fontId="0" fillId="0" borderId="0" xfId="0" applyNumberFormat="1"/>
    <xf numFmtId="169" fontId="0" fillId="0" borderId="0" xfId="0" applyNumberFormat="1"/>
    <xf numFmtId="169" fontId="0" fillId="0" borderId="1" xfId="0" applyNumberFormat="1" applyBorder="1"/>
    <xf numFmtId="0" fontId="0" fillId="0" borderId="0" xfId="0" quotePrefix="1"/>
    <xf numFmtId="0" fontId="0" fillId="0" borderId="0" xfId="0" quotePrefix="1" applyAlignment="1">
      <alignment horizontal="center"/>
    </xf>
    <xf numFmtId="165" fontId="0" fillId="0" borderId="0" xfId="0" applyNumberFormat="1"/>
    <xf numFmtId="172" fontId="0" fillId="0" borderId="0" xfId="0" applyNumberFormat="1"/>
    <xf numFmtId="2" fontId="0" fillId="0" borderId="0" xfId="0" applyNumberFormat="1"/>
    <xf numFmtId="173" fontId="0" fillId="0" borderId="0" xfId="1" applyNumberFormat="1" applyFont="1"/>
    <xf numFmtId="166" fontId="0" fillId="0" borderId="1" xfId="2" applyNumberFormat="1" applyFont="1" applyBorder="1"/>
    <xf numFmtId="166" fontId="0" fillId="0" borderId="2" xfId="2" applyNumberFormat="1" applyFont="1" applyBorder="1"/>
    <xf numFmtId="174" fontId="0" fillId="0" borderId="3" xfId="0" applyNumberFormat="1" applyBorder="1"/>
    <xf numFmtId="43" fontId="0" fillId="0" borderId="3" xfId="0" applyNumberFormat="1" applyBorder="1"/>
    <xf numFmtId="43" fontId="0" fillId="0" borderId="1" xfId="0" applyNumberFormat="1" applyBorder="1"/>
    <xf numFmtId="175" fontId="0" fillId="0" borderId="0" xfId="1" applyNumberFormat="1" applyFont="1"/>
    <xf numFmtId="0" fontId="0" fillId="3" borderId="0" xfId="0" applyFill="1"/>
    <xf numFmtId="169" fontId="0" fillId="3" borderId="0" xfId="2" applyNumberFormat="1" applyFont="1" applyFill="1"/>
    <xf numFmtId="175" fontId="0" fillId="0" borderId="3" xfId="1" applyNumberFormat="1" applyFont="1" applyBorder="1"/>
    <xf numFmtId="175" fontId="0" fillId="0" borderId="0" xfId="1" applyNumberFormat="1" applyFont="1" applyBorder="1"/>
    <xf numFmtId="175" fontId="0" fillId="0" borderId="0" xfId="0" applyNumberFormat="1"/>
    <xf numFmtId="175" fontId="0" fillId="0" borderId="0" xfId="1" applyNumberFormat="1" applyFont="1" applyAlignment="1">
      <alignment horizontal="center"/>
    </xf>
    <xf numFmtId="175" fontId="0" fillId="3" borderId="0" xfId="1" applyNumberFormat="1" applyFont="1" applyFill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533400</xdr:colOff>
      <xdr:row>12</xdr:row>
      <xdr:rowOff>14287</xdr:rowOff>
    </xdr:from>
    <xdr:ext cx="2752164" cy="36939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3BD885D8-DE55-D15D-7B4A-FF4B14516DBF}"/>
                </a:ext>
              </a:extLst>
            </xdr:cNvPr>
            <xdr:cNvSpPr txBox="1"/>
          </xdr:nvSpPr>
          <xdr:spPr>
            <a:xfrm>
              <a:off x="8334375" y="2386012"/>
              <a:ext cx="2752164" cy="3693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sSup>
                          <m:sSupPr>
                            <m:ctrlPr>
                              <a:rPr lang="es-E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(1+</m:t>
                            </m:r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</m:sSup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p>
                          <m:sSupPr>
                            <m:ctrlPr>
                              <a:rPr lang="es-AR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(1+</m:t>
                            </m:r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</m:num>
                      <m:den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sSup>
                          <m:sSupPr>
                            <m:ctrlP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(1+</m:t>
                            </m:r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𝑔</m:t>
                            </m:r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  <m:sup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  <m:r>
                              <a:rPr lang="es-A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sup>
                        </m:sSup>
                      </m:den>
                    </m:f>
                    <m:r>
                      <a:rPr lang="es-AR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s-A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</m:d>
                    <m:r>
                      <a:rPr lang="es-AR" sz="1100" b="0" i="1">
                        <a:latin typeface="Cambria Math" panose="02040503050406030204" pitchFamily="18" charset="0"/>
                      </a:rPr>
                      <m:t>−1=</m:t>
                    </m:r>
                    <m:r>
                      <a:rPr lang="es-AR" sz="1100" b="0" i="1">
                        <a:latin typeface="Cambria Math" panose="02040503050406030204" pitchFamily="18" charset="0"/>
                      </a:rPr>
                      <m:t>𝑔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3BD885D8-DE55-D15D-7B4A-FF4B14516DBF}"/>
                </a:ext>
              </a:extLst>
            </xdr:cNvPr>
            <xdr:cNvSpPr txBox="1"/>
          </xdr:nvSpPr>
          <xdr:spPr>
            <a:xfrm>
              <a:off x="8334375" y="2386012"/>
              <a:ext cx="2752164" cy="3693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i="0">
                  <a:latin typeface="Cambria Math" panose="02040503050406030204" pitchFamily="18" charset="0"/>
                </a:rPr>
                <a:t>(</a:t>
              </a:r>
              <a:r>
                <a:rPr lang="es-AR" sz="1100" b="0" i="0">
                  <a:latin typeface="Cambria Math" panose="02040503050406030204" pitchFamily="18" charset="0"/>
                </a:rPr>
                <a:t>𝑃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AR" sz="1100" b="0" i="0">
                  <a:latin typeface="Cambria Math" panose="02040503050406030204" pitchFamily="18" charset="0"/>
                </a:rPr>
                <a:t>0</a:t>
              </a:r>
              <a:r>
                <a:rPr lang="es-ES" sz="1100" b="0" i="0">
                  <a:latin typeface="Cambria Math" panose="02040503050406030204" pitchFamily="18" charset="0"/>
                </a:rPr>
                <a:t> 〖</a:t>
              </a:r>
              <a:r>
                <a:rPr lang="es-AR" sz="1100" b="0" i="0">
                  <a:latin typeface="Cambria Math" panose="02040503050406030204" pitchFamily="18" charset="0"/>
                </a:rPr>
                <a:t>(1+𝑔)</a:t>
              </a:r>
              <a:r>
                <a:rPr lang="es-ES" sz="1100" b="0" i="0">
                  <a:latin typeface="Cambria Math" panose="02040503050406030204" pitchFamily="18" charset="0"/>
                </a:rPr>
                <a:t>〗^</a:t>
              </a:r>
              <a:r>
                <a:rPr lang="es-AR" sz="1100" b="0" i="0">
                  <a:latin typeface="Cambria Math" panose="02040503050406030204" pitchFamily="18" charset="0"/>
                </a:rPr>
                <a:t>𝑛−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</a:t>
              </a:r>
              <a:r>
                <a:rPr lang="es-AR" sz="1100" b="0" i="0">
                  <a:latin typeface="Cambria Math" panose="02040503050406030204" pitchFamily="18" charset="0"/>
                </a:rPr>
                <a:t>(1+𝑔)〗^(𝑛−1)</a:t>
              </a:r>
              <a:r>
                <a:rPr lang="es-ES" sz="1100" b="0" i="0">
                  <a:latin typeface="Cambria Math" panose="02040503050406030204" pitchFamily="18" charset="0"/>
                </a:rPr>
                <a:t>)/(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 〖(1+𝑔)〗^(𝑛−1)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es-AR" sz="1100" b="0" i="0">
                  <a:latin typeface="Cambria Math" panose="02040503050406030204" pitchFamily="18" charset="0"/>
                </a:rPr>
                <a:t>=(1+𝑔)−1=𝑔</a:t>
              </a:r>
              <a:endParaRPr lang="es-E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7455-C024-4376-AA15-733FD95702AB}">
  <dimension ref="A2:L320"/>
  <sheetViews>
    <sheetView workbookViewId="0">
      <selection activeCell="C5" sqref="C5"/>
    </sheetView>
  </sheetViews>
  <sheetFormatPr baseColWidth="10" defaultRowHeight="15" x14ac:dyDescent="0.25"/>
  <cols>
    <col min="4" max="4" width="15.42578125" customWidth="1"/>
    <col min="7" max="7" width="12.5703125" customWidth="1"/>
    <col min="9" max="9" width="11.42578125" customWidth="1"/>
  </cols>
  <sheetData>
    <row r="2" spans="2:12" ht="17.25" x14ac:dyDescent="0.3">
      <c r="B2" t="s">
        <v>1</v>
      </c>
      <c r="C2" s="18">
        <v>1</v>
      </c>
      <c r="G2">
        <v>40</v>
      </c>
      <c r="H2" s="27" t="s">
        <v>265</v>
      </c>
      <c r="I2">
        <v>2</v>
      </c>
      <c r="K2" t="s">
        <v>267</v>
      </c>
      <c r="L2" t="s">
        <v>268</v>
      </c>
    </row>
    <row r="3" spans="2:12" ht="17.25" x14ac:dyDescent="0.3">
      <c r="B3" t="s">
        <v>2</v>
      </c>
      <c r="C3" s="3">
        <f>+C2*(1+C4)/(C5-C4)</f>
        <v>20.8</v>
      </c>
      <c r="I3" s="27" t="s">
        <v>266</v>
      </c>
    </row>
    <row r="4" spans="2:12" x14ac:dyDescent="0.25">
      <c r="B4" t="s">
        <v>3</v>
      </c>
      <c r="C4" s="1">
        <v>0.04</v>
      </c>
    </row>
    <row r="5" spans="2:12" ht="17.25" x14ac:dyDescent="0.3">
      <c r="B5" t="s">
        <v>4</v>
      </c>
      <c r="C5" s="1">
        <v>0.09</v>
      </c>
    </row>
    <row r="8" spans="2:12" x14ac:dyDescent="0.25">
      <c r="B8" t="s">
        <v>5</v>
      </c>
    </row>
    <row r="9" spans="2:12" x14ac:dyDescent="0.25">
      <c r="F9" s="45" t="s">
        <v>15</v>
      </c>
      <c r="G9" s="45"/>
      <c r="H9" s="45"/>
    </row>
    <row r="10" spans="2:12" x14ac:dyDescent="0.25">
      <c r="B10" s="2" t="s">
        <v>16</v>
      </c>
      <c r="F10" s="2" t="s">
        <v>11</v>
      </c>
      <c r="G10" s="2" t="s">
        <v>18</v>
      </c>
      <c r="H10" s="2"/>
      <c r="I10" s="2" t="s">
        <v>14</v>
      </c>
    </row>
    <row r="11" spans="2:12" x14ac:dyDescent="0.25">
      <c r="B11" s="2" t="s">
        <v>17</v>
      </c>
      <c r="D11" s="2" t="s">
        <v>8</v>
      </c>
      <c r="E11" s="2" t="s">
        <v>9</v>
      </c>
      <c r="F11" s="2" t="s">
        <v>10</v>
      </c>
      <c r="G11" s="2" t="s">
        <v>12</v>
      </c>
      <c r="H11" s="2" t="s">
        <v>13</v>
      </c>
      <c r="I11" s="2" t="s">
        <v>10</v>
      </c>
    </row>
    <row r="12" spans="2:12" x14ac:dyDescent="0.25">
      <c r="B12">
        <v>2018</v>
      </c>
      <c r="D12" s="3">
        <f>+$C$2</f>
        <v>1</v>
      </c>
      <c r="E12" s="3">
        <f>+D13/($C$5-$C$4)</f>
        <v>20.8</v>
      </c>
      <c r="F12" s="6"/>
    </row>
    <row r="13" spans="2:12" x14ac:dyDescent="0.25">
      <c r="B13">
        <v>2019</v>
      </c>
      <c r="D13" s="3">
        <f>+D12*(1+$C$4)</f>
        <v>1.04</v>
      </c>
      <c r="E13" s="3">
        <f t="shared" ref="E13:E22" si="0">+D14/($C$5-$C$4)</f>
        <v>21.632000000000005</v>
      </c>
      <c r="F13" s="5">
        <f>+D13/E12</f>
        <v>0.05</v>
      </c>
      <c r="G13" s="5">
        <f>+(E13-E12)/E12</f>
        <v>4.0000000000000202E-2</v>
      </c>
      <c r="H13" s="7">
        <f>+F13+G13</f>
        <v>9.0000000000000205E-2</v>
      </c>
      <c r="I13" s="3">
        <f>+D13/(1+$C$5)^(B13-$B$12)</f>
        <v>0.95412844036697242</v>
      </c>
      <c r="J13" s="4"/>
      <c r="K13" s="14"/>
    </row>
    <row r="14" spans="2:12" x14ac:dyDescent="0.25">
      <c r="B14">
        <v>2020</v>
      </c>
      <c r="D14" s="3">
        <f t="shared" ref="D14:D23" si="1">+D13*(1+$C$4)</f>
        <v>1.0816000000000001</v>
      </c>
      <c r="E14" s="3">
        <f t="shared" si="0"/>
        <v>22.497280000000003</v>
      </c>
      <c r="F14" s="5">
        <f t="shared" ref="F14:F22" si="2">+D14/E13</f>
        <v>4.9999999999999996E-2</v>
      </c>
      <c r="G14" s="5">
        <f t="shared" ref="G14:G22" si="3">+(E14-E13)/E13</f>
        <v>3.9999999999999925E-2</v>
      </c>
      <c r="H14" s="7">
        <f t="shared" ref="H14:H22" si="4">+F14+G14</f>
        <v>8.9999999999999913E-2</v>
      </c>
      <c r="I14" s="3">
        <f t="shared" ref="I14:I24" si="5">+D14/(1+$C$5)^(B14-$B$12)</f>
        <v>0.9103610807171113</v>
      </c>
      <c r="J14" s="4"/>
      <c r="K14" s="14"/>
    </row>
    <row r="15" spans="2:12" x14ac:dyDescent="0.25">
      <c r="B15">
        <v>2021</v>
      </c>
      <c r="D15" s="3">
        <f t="shared" si="1"/>
        <v>1.1248640000000001</v>
      </c>
      <c r="E15" s="3">
        <f t="shared" si="0"/>
        <v>23.397171200000006</v>
      </c>
      <c r="F15" s="5">
        <f t="shared" si="2"/>
        <v>4.9999999999999996E-2</v>
      </c>
      <c r="G15" s="5">
        <f t="shared" si="3"/>
        <v>4.0000000000000105E-2</v>
      </c>
      <c r="H15" s="7">
        <f t="shared" si="4"/>
        <v>9.0000000000000108E-2</v>
      </c>
      <c r="I15" s="3">
        <f t="shared" si="5"/>
        <v>0.86860139811540893</v>
      </c>
      <c r="J15" s="4"/>
      <c r="K15" s="14"/>
    </row>
    <row r="16" spans="2:12" x14ac:dyDescent="0.25">
      <c r="B16">
        <v>2022</v>
      </c>
      <c r="D16" s="3">
        <f t="shared" si="1"/>
        <v>1.1698585600000002</v>
      </c>
      <c r="E16" s="3">
        <f t="shared" si="0"/>
        <v>24.333058048000009</v>
      </c>
      <c r="F16" s="5">
        <f t="shared" si="2"/>
        <v>4.9999999999999996E-2</v>
      </c>
      <c r="G16" s="5">
        <f t="shared" si="3"/>
        <v>4.0000000000000105E-2</v>
      </c>
      <c r="H16" s="7">
        <f t="shared" si="4"/>
        <v>9.0000000000000108E-2</v>
      </c>
      <c r="I16" s="3">
        <f t="shared" si="5"/>
        <v>0.82875729728442693</v>
      </c>
      <c r="J16" s="4"/>
      <c r="K16" s="14"/>
    </row>
    <row r="17" spans="1:11" x14ac:dyDescent="0.25">
      <c r="B17">
        <v>2023</v>
      </c>
      <c r="D17" s="3">
        <f t="shared" si="1"/>
        <v>1.2166529024000003</v>
      </c>
      <c r="E17" s="3">
        <f t="shared" si="0"/>
        <v>25.30638036992001</v>
      </c>
      <c r="F17" s="5">
        <f t="shared" si="2"/>
        <v>4.9999999999999996E-2</v>
      </c>
      <c r="G17" s="5">
        <f t="shared" si="3"/>
        <v>4.0000000000000042E-2</v>
      </c>
      <c r="H17" s="7">
        <f t="shared" si="4"/>
        <v>9.0000000000000038E-2</v>
      </c>
      <c r="I17" s="3">
        <f t="shared" si="5"/>
        <v>0.79074090750073756</v>
      </c>
      <c r="J17" s="4"/>
      <c r="K17" s="14"/>
    </row>
    <row r="18" spans="1:11" x14ac:dyDescent="0.25">
      <c r="B18">
        <v>2024</v>
      </c>
      <c r="D18" s="3">
        <f t="shared" si="1"/>
        <v>1.2653190184960004</v>
      </c>
      <c r="E18" s="3">
        <f t="shared" si="0"/>
        <v>26.318635584716812</v>
      </c>
      <c r="F18" s="5">
        <f t="shared" si="2"/>
        <v>4.9999999999999996E-2</v>
      </c>
      <c r="G18" s="5">
        <f t="shared" si="3"/>
        <v>4.000000000000007E-2</v>
      </c>
      <c r="H18" s="7">
        <f t="shared" si="4"/>
        <v>9.0000000000000066E-2</v>
      </c>
      <c r="I18" s="3">
        <f t="shared" si="5"/>
        <v>0.75446838880804312</v>
      </c>
      <c r="J18" s="4"/>
      <c r="K18" s="14"/>
    </row>
    <row r="19" spans="1:11" x14ac:dyDescent="0.25">
      <c r="B19">
        <v>2025</v>
      </c>
      <c r="D19" s="3">
        <f t="shared" si="1"/>
        <v>1.3159317792358405</v>
      </c>
      <c r="E19" s="3">
        <f t="shared" si="0"/>
        <v>27.371381008105484</v>
      </c>
      <c r="F19" s="5">
        <f t="shared" si="2"/>
        <v>4.9999999999999996E-2</v>
      </c>
      <c r="G19" s="5">
        <f t="shared" si="3"/>
        <v>3.9999999999999959E-2</v>
      </c>
      <c r="H19" s="7">
        <f t="shared" si="4"/>
        <v>8.9999999999999955E-2</v>
      </c>
      <c r="I19" s="3">
        <f t="shared" si="5"/>
        <v>0.71985974711960088</v>
      </c>
      <c r="J19" s="4"/>
      <c r="K19" s="14"/>
    </row>
    <row r="20" spans="1:11" x14ac:dyDescent="0.25">
      <c r="B20">
        <v>2026</v>
      </c>
      <c r="D20" s="3">
        <f t="shared" si="1"/>
        <v>1.3685690504052741</v>
      </c>
      <c r="E20" s="3">
        <f t="shared" si="0"/>
        <v>28.466236248429706</v>
      </c>
      <c r="F20" s="5">
        <f t="shared" si="2"/>
        <v>4.9999999999999996E-2</v>
      </c>
      <c r="G20" s="5">
        <f t="shared" si="3"/>
        <v>4.0000000000000091E-2</v>
      </c>
      <c r="H20" s="7">
        <f t="shared" si="4"/>
        <v>9.000000000000008E-2</v>
      </c>
      <c r="I20" s="3">
        <f t="shared" si="5"/>
        <v>0.686838657802188</v>
      </c>
      <c r="J20" s="4"/>
      <c r="K20" s="14"/>
    </row>
    <row r="21" spans="1:11" x14ac:dyDescent="0.25">
      <c r="B21">
        <v>2027</v>
      </c>
      <c r="D21" s="3">
        <f t="shared" si="1"/>
        <v>1.4233118124214852</v>
      </c>
      <c r="E21" s="3">
        <f t="shared" si="0"/>
        <v>29.604885698366893</v>
      </c>
      <c r="F21" s="5">
        <f t="shared" si="2"/>
        <v>4.9999999999999996E-2</v>
      </c>
      <c r="G21" s="5">
        <f t="shared" si="3"/>
        <v>3.9999999999999959E-2</v>
      </c>
      <c r="H21" s="7">
        <f t="shared" si="4"/>
        <v>8.9999999999999955E-2</v>
      </c>
      <c r="I21" s="3">
        <f t="shared" si="5"/>
        <v>0.65533229735254628</v>
      </c>
      <c r="J21" s="4"/>
      <c r="K21" s="14"/>
    </row>
    <row r="22" spans="1:11" x14ac:dyDescent="0.25">
      <c r="B22">
        <v>2028</v>
      </c>
      <c r="D22" s="3">
        <f t="shared" si="1"/>
        <v>1.4802442849183446</v>
      </c>
      <c r="E22" s="3">
        <f t="shared" si="0"/>
        <v>30.789081126301571</v>
      </c>
      <c r="F22" s="5">
        <f t="shared" si="2"/>
        <v>4.9999999999999996E-2</v>
      </c>
      <c r="G22" s="5">
        <f t="shared" si="3"/>
        <v>4.0000000000000098E-2</v>
      </c>
      <c r="H22" s="7">
        <f t="shared" si="4"/>
        <v>9.0000000000000094E-2</v>
      </c>
      <c r="I22" s="3">
        <f t="shared" si="5"/>
        <v>0.62527118279508997</v>
      </c>
      <c r="J22" s="4"/>
      <c r="K22" s="14"/>
    </row>
    <row r="23" spans="1:11" x14ac:dyDescent="0.25">
      <c r="B23">
        <v>2029</v>
      </c>
      <c r="D23" s="3">
        <f t="shared" si="1"/>
        <v>1.5394540563150785</v>
      </c>
      <c r="E23" s="3"/>
      <c r="I23" s="3">
        <f t="shared" si="5"/>
        <v>0.59658901844669143</v>
      </c>
    </row>
    <row r="24" spans="1:11" x14ac:dyDescent="0.25">
      <c r="A24" t="s">
        <v>6</v>
      </c>
      <c r="B24" s="8">
        <v>2328</v>
      </c>
      <c r="C24" s="8"/>
      <c r="D24" s="11">
        <f>+D23*(1+$C$4)^300</f>
        <v>198320.91702615001</v>
      </c>
      <c r="E24" s="11"/>
      <c r="F24" s="8"/>
      <c r="G24" s="8"/>
      <c r="H24" s="8"/>
      <c r="I24" s="12">
        <f t="shared" si="5"/>
        <v>4.9562609062478395E-7</v>
      </c>
    </row>
    <row r="25" spans="1:11" x14ac:dyDescent="0.25">
      <c r="B25" t="s">
        <v>7</v>
      </c>
      <c r="D25" s="3"/>
      <c r="E25" s="3"/>
      <c r="I25" s="4">
        <f>+D13/($C$5-$C$4)</f>
        <v>20.8</v>
      </c>
    </row>
    <row r="26" spans="1:11" x14ac:dyDescent="0.25">
      <c r="D26" s="3"/>
      <c r="E26" s="3"/>
      <c r="I26" s="4"/>
    </row>
    <row r="27" spans="1:11" x14ac:dyDescent="0.25">
      <c r="D27" s="2" t="s">
        <v>14</v>
      </c>
    </row>
    <row r="28" spans="1:11" x14ac:dyDescent="0.25">
      <c r="C28" s="2" t="s">
        <v>8</v>
      </c>
      <c r="D28" s="2" t="s">
        <v>10</v>
      </c>
    </row>
    <row r="29" spans="1:11" x14ac:dyDescent="0.25">
      <c r="B29">
        <v>2018</v>
      </c>
      <c r="C29" s="3">
        <f>+$C$2</f>
        <v>1</v>
      </c>
      <c r="F29" s="4">
        <f>+SUM(D30:D318)</f>
        <v>20.799973427006112</v>
      </c>
    </row>
    <row r="30" spans="1:11" x14ac:dyDescent="0.25">
      <c r="B30">
        <v>2019</v>
      </c>
      <c r="C30" s="3">
        <f>+C29*(1+$C$4)</f>
        <v>1.04</v>
      </c>
      <c r="D30" s="3">
        <f>+C30/(1+$C$5)^(B30-$B$29)</f>
        <v>0.95412844036697242</v>
      </c>
      <c r="G30" s="4">
        <f>+C30</f>
        <v>1.04</v>
      </c>
      <c r="H30" s="3">
        <f>+G30/(1+$C$5)^(B30-$B$29)</f>
        <v>0.95412844036697242</v>
      </c>
    </row>
    <row r="31" spans="1:11" x14ac:dyDescent="0.25">
      <c r="B31">
        <v>2020</v>
      </c>
      <c r="C31" s="3">
        <f t="shared" ref="C31:C94" si="6">+C30*(1+$C$4)</f>
        <v>1.0816000000000001</v>
      </c>
      <c r="D31" s="3">
        <f t="shared" ref="D30:D93" si="7">+C31/(1+$C$5)^(B31-$B$29)</f>
        <v>0.9103610807171113</v>
      </c>
      <c r="G31" s="4">
        <f>+C31</f>
        <v>1.0816000000000001</v>
      </c>
      <c r="H31" s="3">
        <f t="shared" ref="H31:H36" si="8">+G31/(1+$C$5)^(B31-$B$29)</f>
        <v>0.9103610807171113</v>
      </c>
    </row>
    <row r="32" spans="1:11" x14ac:dyDescent="0.25">
      <c r="B32">
        <v>2021</v>
      </c>
      <c r="C32" s="3">
        <f t="shared" si="6"/>
        <v>1.1248640000000001</v>
      </c>
      <c r="D32" s="3">
        <f t="shared" si="7"/>
        <v>0.86860139811540893</v>
      </c>
      <c r="G32" s="4">
        <f t="shared" ref="G32:G35" si="9">+C32</f>
        <v>1.1248640000000001</v>
      </c>
      <c r="H32" s="3">
        <f t="shared" si="8"/>
        <v>0.86860139811540893</v>
      </c>
    </row>
    <row r="33" spans="2:8" x14ac:dyDescent="0.25">
      <c r="B33">
        <v>2022</v>
      </c>
      <c r="C33" s="3">
        <f t="shared" si="6"/>
        <v>1.1698585600000002</v>
      </c>
      <c r="D33" s="3">
        <f t="shared" si="7"/>
        <v>0.82875729728442693</v>
      </c>
      <c r="G33" s="4">
        <f t="shared" si="9"/>
        <v>1.1698585600000002</v>
      </c>
      <c r="H33" s="3">
        <f t="shared" si="8"/>
        <v>0.82875729728442693</v>
      </c>
    </row>
    <row r="34" spans="2:8" x14ac:dyDescent="0.25">
      <c r="B34">
        <v>2023</v>
      </c>
      <c r="C34" s="3">
        <f t="shared" si="6"/>
        <v>1.2166529024000003</v>
      </c>
      <c r="D34" s="3">
        <f t="shared" si="7"/>
        <v>0.79074090750073756</v>
      </c>
      <c r="G34" s="4">
        <f t="shared" si="9"/>
        <v>1.2166529024000003</v>
      </c>
      <c r="H34" s="3">
        <f t="shared" si="8"/>
        <v>0.79074090750073756</v>
      </c>
    </row>
    <row r="35" spans="2:8" x14ac:dyDescent="0.25">
      <c r="B35">
        <v>2024</v>
      </c>
      <c r="C35" s="3">
        <f t="shared" si="6"/>
        <v>1.2653190184960004</v>
      </c>
      <c r="D35" s="3">
        <f t="shared" si="7"/>
        <v>0.75446838880804312</v>
      </c>
      <c r="F35" s="4"/>
      <c r="G35" s="4">
        <f t="shared" si="9"/>
        <v>1.2653190184960004</v>
      </c>
      <c r="H35" s="3">
        <f t="shared" si="8"/>
        <v>0.75446838880804312</v>
      </c>
    </row>
    <row r="36" spans="2:8" x14ac:dyDescent="0.25">
      <c r="B36">
        <v>2025</v>
      </c>
      <c r="C36" s="3">
        <f t="shared" si="6"/>
        <v>1.3159317792358405</v>
      </c>
      <c r="D36" s="3">
        <f t="shared" si="7"/>
        <v>0.71985974711960088</v>
      </c>
      <c r="E36">
        <f>+C36/(1+$C$5)^(B36-$B$35)</f>
        <v>1.2072768616842573</v>
      </c>
      <c r="G36" s="4">
        <f>+SUM(E36:E318)</f>
        <v>26.318591019145796</v>
      </c>
      <c r="H36" s="3">
        <f>+G36/(1+$C$5)^(B35-$B$29)</f>
        <v>15.692915914213399</v>
      </c>
    </row>
    <row r="37" spans="2:8" x14ac:dyDescent="0.25">
      <c r="B37">
        <v>2026</v>
      </c>
      <c r="C37" s="3">
        <f t="shared" si="6"/>
        <v>1.3685690504052741</v>
      </c>
      <c r="D37" s="3">
        <f t="shared" si="7"/>
        <v>0.686838657802188</v>
      </c>
      <c r="E37">
        <f t="shared" ref="E37:E100" si="10">+C37/(1+$C$5)^(B37-$B$35)</f>
        <v>1.1518971891299334</v>
      </c>
      <c r="H37" s="4">
        <f>SUM(H30:H36)</f>
        <v>20.799973427006101</v>
      </c>
    </row>
    <row r="38" spans="2:8" x14ac:dyDescent="0.25">
      <c r="B38">
        <v>2027</v>
      </c>
      <c r="C38" s="3">
        <f t="shared" si="6"/>
        <v>1.4233118124214852</v>
      </c>
      <c r="D38" s="3">
        <f t="shared" si="7"/>
        <v>0.65533229735254628</v>
      </c>
      <c r="E38">
        <f t="shared" si="10"/>
        <v>1.0990578685276431</v>
      </c>
    </row>
    <row r="39" spans="2:8" x14ac:dyDescent="0.25">
      <c r="B39">
        <v>2028</v>
      </c>
      <c r="C39" s="3">
        <f t="shared" si="6"/>
        <v>1.4802442849183446</v>
      </c>
      <c r="D39" s="3">
        <f t="shared" si="7"/>
        <v>0.62527118279508997</v>
      </c>
      <c r="E39">
        <f t="shared" si="10"/>
        <v>1.048642369971329</v>
      </c>
    </row>
    <row r="40" spans="2:8" x14ac:dyDescent="0.25">
      <c r="B40">
        <v>2029</v>
      </c>
      <c r="C40" s="3">
        <f t="shared" si="6"/>
        <v>1.5394540563150785</v>
      </c>
      <c r="D40" s="3">
        <f t="shared" si="7"/>
        <v>0.59658901844669143</v>
      </c>
      <c r="E40">
        <f t="shared" si="10"/>
        <v>1.0005395089634699</v>
      </c>
    </row>
    <row r="41" spans="2:8" x14ac:dyDescent="0.25">
      <c r="B41">
        <v>2030</v>
      </c>
      <c r="C41" s="3">
        <f t="shared" si="6"/>
        <v>1.6010322185676817</v>
      </c>
      <c r="D41" s="3">
        <f t="shared" si="7"/>
        <v>0.56922254971060471</v>
      </c>
      <c r="E41">
        <f t="shared" si="10"/>
        <v>0.95464320121285196</v>
      </c>
    </row>
    <row r="42" spans="2:8" x14ac:dyDescent="0.25">
      <c r="B42">
        <v>2031</v>
      </c>
      <c r="C42" s="3">
        <f t="shared" si="6"/>
        <v>1.6650735073103891</v>
      </c>
      <c r="D42" s="3">
        <f t="shared" si="7"/>
        <v>0.54311142357709064</v>
      </c>
      <c r="E42">
        <f t="shared" si="10"/>
        <v>0.91085222868015236</v>
      </c>
    </row>
    <row r="43" spans="2:8" x14ac:dyDescent="0.25">
      <c r="B43">
        <v>2032</v>
      </c>
      <c r="C43" s="3">
        <f t="shared" si="6"/>
        <v>1.7316764476028046</v>
      </c>
      <c r="D43" s="3">
        <f t="shared" si="7"/>
        <v>0.51819805552309561</v>
      </c>
      <c r="E43">
        <f t="shared" si="10"/>
        <v>0.86907001635537473</v>
      </c>
    </row>
    <row r="44" spans="2:8" x14ac:dyDescent="0.25">
      <c r="B44">
        <v>2033</v>
      </c>
      <c r="C44" s="3">
        <f t="shared" si="6"/>
        <v>1.8009435055069167</v>
      </c>
      <c r="D44" s="3">
        <f t="shared" si="7"/>
        <v>0.49442750251744905</v>
      </c>
      <c r="E44">
        <f t="shared" si="10"/>
        <v>0.82920441927485289</v>
      </c>
    </row>
    <row r="45" spans="2:8" x14ac:dyDescent="0.25">
      <c r="B45">
        <v>2034</v>
      </c>
      <c r="C45" s="3">
        <f t="shared" si="6"/>
        <v>1.8729812457271935</v>
      </c>
      <c r="D45" s="3">
        <f t="shared" si="7"/>
        <v>0.47174734185151102</v>
      </c>
      <c r="E45">
        <f t="shared" si="10"/>
        <v>0.79116751930811635</v>
      </c>
    </row>
    <row r="46" spans="2:8" x14ac:dyDescent="0.25">
      <c r="B46">
        <v>2035</v>
      </c>
      <c r="C46" s="3">
        <f t="shared" si="6"/>
        <v>1.9479004955562813</v>
      </c>
      <c r="D46" s="3">
        <f t="shared" si="7"/>
        <v>0.45010755552804721</v>
      </c>
      <c r="E46">
        <f t="shared" si="10"/>
        <v>0.75487543126645973</v>
      </c>
    </row>
    <row r="47" spans="2:8" x14ac:dyDescent="0.25">
      <c r="B47">
        <v>2036</v>
      </c>
      <c r="C47" s="3">
        <f t="shared" si="6"/>
        <v>2.0258165153785326</v>
      </c>
      <c r="D47" s="3">
        <f t="shared" si="7"/>
        <v>0.42946041995336609</v>
      </c>
      <c r="E47">
        <f t="shared" si="10"/>
        <v>0.72024811790561305</v>
      </c>
    </row>
    <row r="48" spans="2:8" x14ac:dyDescent="0.25">
      <c r="B48">
        <v>2037</v>
      </c>
      <c r="C48" s="3">
        <f t="shared" si="6"/>
        <v>2.1068491759936738</v>
      </c>
      <c r="D48" s="3">
        <f t="shared" si="7"/>
        <v>0.40976040068945019</v>
      </c>
      <c r="E48">
        <f t="shared" si="10"/>
        <v>0.68720921341452967</v>
      </c>
    </row>
    <row r="49" spans="2:5" x14ac:dyDescent="0.25">
      <c r="B49">
        <v>2038</v>
      </c>
      <c r="C49" s="3">
        <f t="shared" si="6"/>
        <v>2.1911231430334208</v>
      </c>
      <c r="D49" s="3">
        <f t="shared" si="7"/>
        <v>0.39096405203397083</v>
      </c>
      <c r="E49">
        <f t="shared" si="10"/>
        <v>0.65568585500101917</v>
      </c>
    </row>
    <row r="50" spans="2:5" x14ac:dyDescent="0.25">
      <c r="B50">
        <v>2039</v>
      </c>
      <c r="C50" s="3">
        <f t="shared" si="6"/>
        <v>2.2787680687547578</v>
      </c>
      <c r="D50" s="3">
        <f t="shared" si="7"/>
        <v>0.3730299212067244</v>
      </c>
      <c r="E50">
        <f t="shared" si="10"/>
        <v>0.62560852220280727</v>
      </c>
    </row>
    <row r="51" spans="2:5" x14ac:dyDescent="0.25">
      <c r="B51">
        <v>2040</v>
      </c>
      <c r="C51" s="3">
        <f t="shared" si="6"/>
        <v>2.369918791504948</v>
      </c>
      <c r="D51" s="3">
        <f t="shared" si="7"/>
        <v>0.35591845693118657</v>
      </c>
      <c r="E51">
        <f t="shared" si="10"/>
        <v>0.59691088356965094</v>
      </c>
    </row>
    <row r="52" spans="2:5" x14ac:dyDescent="0.25">
      <c r="B52">
        <v>2041</v>
      </c>
      <c r="C52" s="3">
        <f t="shared" si="6"/>
        <v>2.4647155431651462</v>
      </c>
      <c r="D52" s="3">
        <f t="shared" si="7"/>
        <v>0.33959192220957257</v>
      </c>
      <c r="E52">
        <f t="shared" si="10"/>
        <v>0.56952965037838255</v>
      </c>
    </row>
    <row r="53" spans="2:5" x14ac:dyDescent="0.25">
      <c r="B53">
        <v>2042</v>
      </c>
      <c r="C53" s="3">
        <f t="shared" si="6"/>
        <v>2.5633041648917523</v>
      </c>
      <c r="D53" s="3">
        <f t="shared" si="7"/>
        <v>0.32401431109904172</v>
      </c>
      <c r="E53">
        <f t="shared" si="10"/>
        <v>0.54340443705827324</v>
      </c>
    </row>
    <row r="54" spans="2:5" x14ac:dyDescent="0.25">
      <c r="B54">
        <v>2043</v>
      </c>
      <c r="C54" s="3">
        <f t="shared" si="6"/>
        <v>2.6658363314874225</v>
      </c>
      <c r="D54" s="3">
        <f t="shared" si="7"/>
        <v>0.30915126930550768</v>
      </c>
      <c r="E54">
        <f t="shared" si="10"/>
        <v>0.51847762801890296</v>
      </c>
    </row>
    <row r="55" spans="2:5" x14ac:dyDescent="0.25">
      <c r="B55">
        <v>2044</v>
      </c>
      <c r="C55" s="3">
        <f t="shared" si="6"/>
        <v>2.7724697847469195</v>
      </c>
      <c r="D55" s="3">
        <f t="shared" si="7"/>
        <v>0.29497001841993392</v>
      </c>
      <c r="E55">
        <f t="shared" si="10"/>
        <v>0.49469425058684324</v>
      </c>
    </row>
    <row r="56" spans="2:5" x14ac:dyDescent="0.25">
      <c r="B56">
        <v>2045</v>
      </c>
      <c r="C56" s="3">
        <f t="shared" si="6"/>
        <v>2.8833685761367964</v>
      </c>
      <c r="D56" s="3">
        <f t="shared" si="7"/>
        <v>0.28143928363002868</v>
      </c>
      <c r="E56">
        <f t="shared" si="10"/>
        <v>0.4720018537709329</v>
      </c>
    </row>
    <row r="57" spans="2:5" x14ac:dyDescent="0.25">
      <c r="B57">
        <v>2046</v>
      </c>
      <c r="C57" s="3">
        <f t="shared" si="6"/>
        <v>2.9987033191822685</v>
      </c>
      <c r="D57" s="3">
        <f t="shared" si="7"/>
        <v>0.26852922474791729</v>
      </c>
      <c r="E57">
        <f t="shared" si="10"/>
        <v>0.45035039258878001</v>
      </c>
    </row>
    <row r="58" spans="2:5" x14ac:dyDescent="0.25">
      <c r="B58">
        <v>2047</v>
      </c>
      <c r="C58" s="3">
        <f t="shared" si="6"/>
        <v>3.1186514519495594</v>
      </c>
      <c r="D58" s="3">
        <f t="shared" si="7"/>
        <v>0.25621137040168257</v>
      </c>
      <c r="E58">
        <f t="shared" si="10"/>
        <v>0.42969211769938648</v>
      </c>
    </row>
    <row r="59" spans="2:5" x14ac:dyDescent="0.25">
      <c r="B59">
        <v>2048</v>
      </c>
      <c r="C59" s="3">
        <f t="shared" si="6"/>
        <v>3.2433975100275418</v>
      </c>
      <c r="D59" s="3">
        <f t="shared" si="7"/>
        <v>0.24445855524564206</v>
      </c>
      <c r="E59">
        <f t="shared" si="10"/>
        <v>0.40998147009849717</v>
      </c>
    </row>
    <row r="60" spans="2:5" x14ac:dyDescent="0.25">
      <c r="B60">
        <v>2049</v>
      </c>
      <c r="C60" s="3">
        <f t="shared" si="6"/>
        <v>3.3731334104286437</v>
      </c>
      <c r="D60" s="3">
        <f t="shared" si="7"/>
        <v>0.23324486005088785</v>
      </c>
      <c r="E60">
        <f t="shared" si="10"/>
        <v>0.39117498064443762</v>
      </c>
    </row>
    <row r="61" spans="2:5" x14ac:dyDescent="0.25">
      <c r="B61">
        <v>2050</v>
      </c>
      <c r="C61" s="3">
        <f t="shared" si="6"/>
        <v>3.5080587468457893</v>
      </c>
      <c r="D61" s="3">
        <f t="shared" si="7"/>
        <v>0.22254555454396638</v>
      </c>
      <c r="E61">
        <f t="shared" si="10"/>
        <v>0.3732311741928579</v>
      </c>
    </row>
    <row r="62" spans="2:5" x14ac:dyDescent="0.25">
      <c r="B62">
        <v>2051</v>
      </c>
      <c r="C62" s="3">
        <f t="shared" si="6"/>
        <v>3.6483810967196209</v>
      </c>
      <c r="D62" s="3">
        <f t="shared" si="7"/>
        <v>0.21233704286763763</v>
      </c>
      <c r="E62">
        <f t="shared" si="10"/>
        <v>0.35611047812896535</v>
      </c>
    </row>
    <row r="63" spans="2:5" x14ac:dyDescent="0.25">
      <c r="B63">
        <v>2052</v>
      </c>
      <c r="C63" s="3">
        <f t="shared" si="6"/>
        <v>3.7943163405884057</v>
      </c>
      <c r="D63" s="3">
        <f t="shared" si="7"/>
        <v>0.20259681154343404</v>
      </c>
      <c r="E63">
        <f t="shared" si="10"/>
        <v>0.33977513509552654</v>
      </c>
    </row>
    <row r="64" spans="2:5" x14ac:dyDescent="0.25">
      <c r="B64">
        <v>2053</v>
      </c>
      <c r="C64" s="3">
        <f t="shared" si="6"/>
        <v>3.9460889942119421</v>
      </c>
      <c r="D64" s="3">
        <f t="shared" si="7"/>
        <v>0.19330337982125817</v>
      </c>
      <c r="E64">
        <f t="shared" si="10"/>
        <v>0.32418911972417214</v>
      </c>
    </row>
    <row r="65" spans="2:5" x14ac:dyDescent="0.25">
      <c r="B65">
        <v>2054</v>
      </c>
      <c r="C65" s="3">
        <f t="shared" si="6"/>
        <v>4.1039325539804201</v>
      </c>
      <c r="D65" s="3">
        <f t="shared" si="7"/>
        <v>0.18443625230652155</v>
      </c>
      <c r="E65">
        <f t="shared" si="10"/>
        <v>0.30931805918636601</v>
      </c>
    </row>
    <row r="66" spans="2:5" x14ac:dyDescent="0.25">
      <c r="B66">
        <v>2055</v>
      </c>
      <c r="C66" s="3">
        <f t="shared" si="6"/>
        <v>4.2680898561396372</v>
      </c>
      <c r="D66" s="3">
        <f t="shared" si="7"/>
        <v>0.17597587376035087</v>
      </c>
      <c r="E66">
        <f t="shared" si="10"/>
        <v>0.29512915738882634</v>
      </c>
    </row>
    <row r="67" spans="2:5" x14ac:dyDescent="0.25">
      <c r="B67">
        <v>2056</v>
      </c>
      <c r="C67" s="3">
        <f t="shared" si="6"/>
        <v>4.438813450385223</v>
      </c>
      <c r="D67" s="3">
        <f t="shared" si="7"/>
        <v>0.16790358597317878</v>
      </c>
      <c r="E67">
        <f t="shared" si="10"/>
        <v>0.28159112264621966</v>
      </c>
    </row>
    <row r="68" spans="2:5" x14ac:dyDescent="0.25">
      <c r="B68">
        <v>2057</v>
      </c>
      <c r="C68" s="3">
        <f t="shared" si="6"/>
        <v>4.6163659884006325</v>
      </c>
      <c r="D68" s="3">
        <f t="shared" si="7"/>
        <v>0.16020158661661099</v>
      </c>
      <c r="E68">
        <f t="shared" si="10"/>
        <v>0.2686740986716224</v>
      </c>
    </row>
    <row r="69" spans="2:5" x14ac:dyDescent="0.25">
      <c r="B69">
        <v>2058</v>
      </c>
      <c r="C69" s="3">
        <f t="shared" si="6"/>
        <v>4.8010206279366576</v>
      </c>
      <c r="D69" s="3">
        <f t="shared" si="7"/>
        <v>0.15285288998282148</v>
      </c>
      <c r="E69">
        <f t="shared" si="10"/>
        <v>0.25634959873255714</v>
      </c>
    </row>
    <row r="70" spans="2:5" x14ac:dyDescent="0.25">
      <c r="B70">
        <v>2059</v>
      </c>
      <c r="C70" s="3">
        <f t="shared" si="6"/>
        <v>4.993061453054124</v>
      </c>
      <c r="D70" s="3">
        <f t="shared" si="7"/>
        <v>0.14584128952489386</v>
      </c>
      <c r="E70">
        <f t="shared" si="10"/>
        <v>0.24459044282739395</v>
      </c>
    </row>
    <row r="71" spans="2:5" x14ac:dyDescent="0.25">
      <c r="B71">
        <v>2060</v>
      </c>
      <c r="C71" s="3">
        <f t="shared" si="6"/>
        <v>5.1927839111762895</v>
      </c>
      <c r="D71" s="3">
        <f t="shared" si="7"/>
        <v>0.13915132211549508</v>
      </c>
      <c r="E71">
        <f t="shared" si="10"/>
        <v>0.23337069774356856</v>
      </c>
    </row>
    <row r="72" spans="2:5" x14ac:dyDescent="0.25">
      <c r="B72">
        <v>2061</v>
      </c>
      <c r="C72" s="3">
        <f t="shared" si="6"/>
        <v>5.4004952676233415</v>
      </c>
      <c r="D72" s="3">
        <f t="shared" si="7"/>
        <v>0.13276823394505954</v>
      </c>
      <c r="E72">
        <f t="shared" si="10"/>
        <v>0.22266561986542324</v>
      </c>
    </row>
    <row r="73" spans="2:5" x14ac:dyDescent="0.25">
      <c r="B73">
        <v>2062</v>
      </c>
      <c r="C73" s="3">
        <f t="shared" si="6"/>
        <v>5.6165150783282751</v>
      </c>
      <c r="D73" s="3">
        <f t="shared" si="7"/>
        <v>0.12667794798427698</v>
      </c>
      <c r="E73">
        <f t="shared" si="10"/>
        <v>0.21245160060554141</v>
      </c>
    </row>
    <row r="74" spans="2:5" x14ac:dyDescent="0.25">
      <c r="B74">
        <v>2063</v>
      </c>
      <c r="C74" s="3">
        <f t="shared" si="6"/>
        <v>5.8411756814614062</v>
      </c>
      <c r="D74" s="3">
        <f t="shared" si="7"/>
        <v>0.12086703293912664</v>
      </c>
      <c r="E74">
        <f t="shared" si="10"/>
        <v>0.20270611433923219</v>
      </c>
    </row>
    <row r="75" spans="2:5" x14ac:dyDescent="0.25">
      <c r="B75">
        <v>2064</v>
      </c>
      <c r="C75" s="3">
        <f t="shared" si="6"/>
        <v>6.0748227087198625</v>
      </c>
      <c r="D75" s="3">
        <f t="shared" si="7"/>
        <v>0.11532267362999239</v>
      </c>
      <c r="E75">
        <f t="shared" si="10"/>
        <v>0.19340766872734078</v>
      </c>
    </row>
    <row r="76" spans="2:5" x14ac:dyDescent="0.25">
      <c r="B76">
        <v>2065</v>
      </c>
      <c r="C76" s="3">
        <f t="shared" si="6"/>
        <v>6.317815617068657</v>
      </c>
      <c r="D76" s="3">
        <f t="shared" si="7"/>
        <v>0.11003264272953403</v>
      </c>
      <c r="E76">
        <f t="shared" si="10"/>
        <v>0.18453575731782973</v>
      </c>
    </row>
    <row r="77" spans="2:5" x14ac:dyDescent="0.25">
      <c r="B77">
        <v>2066</v>
      </c>
      <c r="C77" s="3">
        <f t="shared" si="6"/>
        <v>6.5705282417514033</v>
      </c>
      <c r="D77" s="3">
        <f t="shared" si="7"/>
        <v>0.10498527379698658</v>
      </c>
      <c r="E77">
        <f t="shared" si="10"/>
        <v>0.17607081432159899</v>
      </c>
    </row>
    <row r="78" spans="2:5" x14ac:dyDescent="0.25">
      <c r="B78">
        <v>2067</v>
      </c>
      <c r="C78" s="3">
        <f t="shared" si="6"/>
        <v>6.8333493714214599</v>
      </c>
      <c r="D78" s="3">
        <f t="shared" si="7"/>
        <v>0.1001694355494184</v>
      </c>
      <c r="E78">
        <f t="shared" si="10"/>
        <v>0.16799417146281004</v>
      </c>
    </row>
    <row r="79" spans="2:5" x14ac:dyDescent="0.25">
      <c r="B79">
        <v>2068</v>
      </c>
      <c r="C79" s="3">
        <f t="shared" si="6"/>
        <v>7.1066833462783183</v>
      </c>
      <c r="D79" s="3">
        <f t="shared" si="7"/>
        <v>9.5574507313206533E-2</v>
      </c>
      <c r="E79">
        <f t="shared" si="10"/>
        <v>0.1602880168085527</v>
      </c>
    </row>
    <row r="80" spans="2:5" x14ac:dyDescent="0.25">
      <c r="B80">
        <v>2069</v>
      </c>
      <c r="C80" s="3">
        <f t="shared" si="6"/>
        <v>7.3909506801294516</v>
      </c>
      <c r="D80" s="3">
        <f t="shared" si="7"/>
        <v>9.1190355601591555E-2</v>
      </c>
      <c r="E80">
        <f t="shared" si="10"/>
        <v>0.15293535548705944</v>
      </c>
    </row>
    <row r="81" spans="2:5" x14ac:dyDescent="0.25">
      <c r="B81">
        <v>2070</v>
      </c>
      <c r="C81" s="3">
        <f t="shared" si="6"/>
        <v>7.6865887073346295</v>
      </c>
      <c r="D81" s="3">
        <f t="shared" si="7"/>
        <v>8.7007311766656159E-2</v>
      </c>
      <c r="E81">
        <f t="shared" si="10"/>
        <v>0.14591997220783653</v>
      </c>
    </row>
    <row r="82" spans="2:5" x14ac:dyDescent="0.25">
      <c r="B82">
        <v>2071</v>
      </c>
      <c r="C82" s="3">
        <f t="shared" si="6"/>
        <v>7.9940522556280147</v>
      </c>
      <c r="D82" s="3">
        <f t="shared" si="7"/>
        <v>8.3016150676442566E-2</v>
      </c>
      <c r="E82">
        <f t="shared" si="10"/>
        <v>0.13922639550105503</v>
      </c>
    </row>
    <row r="83" spans="2:5" x14ac:dyDescent="0.25">
      <c r="B83">
        <v>2072</v>
      </c>
      <c r="C83" s="3">
        <f t="shared" si="6"/>
        <v>8.3138143458531353</v>
      </c>
      <c r="D83" s="3">
        <f t="shared" si="7"/>
        <v>7.9208070370183722E-2</v>
      </c>
      <c r="E83">
        <f t="shared" si="10"/>
        <v>0.1328398635973369</v>
      </c>
    </row>
    <row r="84" spans="2:5" x14ac:dyDescent="0.25">
      <c r="B84">
        <v>2073</v>
      </c>
      <c r="C84" s="3">
        <f t="shared" si="6"/>
        <v>8.6463669196872601</v>
      </c>
      <c r="D84" s="3">
        <f t="shared" si="7"/>
        <v>7.5574672646780805E-2</v>
      </c>
      <c r="E84">
        <f t="shared" si="10"/>
        <v>0.12674629187268843</v>
      </c>
    </row>
    <row r="85" spans="2:5" x14ac:dyDescent="0.25">
      <c r="B85">
        <v>2074</v>
      </c>
      <c r="C85" s="3">
        <f t="shared" si="6"/>
        <v>8.9922215964747512</v>
      </c>
      <c r="D85" s="3">
        <f t="shared" si="7"/>
        <v>7.2107944543717467E-2</v>
      </c>
      <c r="E85">
        <f t="shared" si="10"/>
        <v>0.12093224178678527</v>
      </c>
    </row>
    <row r="86" spans="2:5" x14ac:dyDescent="0.25">
      <c r="B86">
        <v>2075</v>
      </c>
      <c r="C86" s="3">
        <f t="shared" si="6"/>
        <v>9.3519104603337411</v>
      </c>
      <c r="D86" s="3">
        <f t="shared" si="7"/>
        <v>6.8800240665565282E-2</v>
      </c>
      <c r="E86">
        <f t="shared" si="10"/>
        <v>0.11538489124610703</v>
      </c>
    </row>
    <row r="87" spans="2:5" x14ac:dyDescent="0.25">
      <c r="B87">
        <v>2076</v>
      </c>
      <c r="C87" s="3">
        <f t="shared" si="6"/>
        <v>9.7259868787470918</v>
      </c>
      <c r="D87" s="3">
        <f t="shared" si="7"/>
        <v>6.5644266323108158E-2</v>
      </c>
      <c r="E87">
        <f t="shared" si="10"/>
        <v>0.11009200632656087</v>
      </c>
    </row>
    <row r="88" spans="2:5" x14ac:dyDescent="0.25">
      <c r="B88">
        <v>2077</v>
      </c>
      <c r="C88" s="3">
        <f t="shared" si="6"/>
        <v>10.115026353896976</v>
      </c>
      <c r="D88" s="3">
        <f t="shared" si="7"/>
        <v>6.2633061445901361E-2</v>
      </c>
      <c r="E88">
        <f t="shared" si="10"/>
        <v>0.10504191429323238</v>
      </c>
    </row>
    <row r="89" spans="2:5" x14ac:dyDescent="0.25">
      <c r="B89">
        <v>2078</v>
      </c>
      <c r="C89" s="3">
        <f t="shared" si="6"/>
        <v>10.519627408052855</v>
      </c>
      <c r="D89" s="3">
        <f t="shared" si="7"/>
        <v>5.9759985232786625E-2</v>
      </c>
      <c r="E89">
        <f t="shared" si="10"/>
        <v>0.10022347785776299</v>
      </c>
    </row>
    <row r="90" spans="2:5" x14ac:dyDescent="0.25">
      <c r="B90">
        <v>2079</v>
      </c>
      <c r="C90" s="3">
        <f t="shared" si="6"/>
        <v>10.94041250437497</v>
      </c>
      <c r="D90" s="3">
        <f t="shared" si="7"/>
        <v>5.7018701506512004E-2</v>
      </c>
      <c r="E90">
        <f t="shared" si="10"/>
        <v>9.5626070616581224E-2</v>
      </c>
    </row>
    <row r="91" spans="2:5" x14ac:dyDescent="0.25">
      <c r="B91">
        <v>2080</v>
      </c>
      <c r="C91" s="3">
        <f t="shared" si="6"/>
        <v>11.378029004549969</v>
      </c>
      <c r="D91" s="3">
        <f t="shared" si="7"/>
        <v>5.4403164740158237E-2</v>
      </c>
      <c r="E91">
        <f t="shared" si="10"/>
        <v>9.1239553615820604E-2</v>
      </c>
    </row>
    <row r="92" spans="2:5" x14ac:dyDescent="0.25">
      <c r="B92">
        <v>2081</v>
      </c>
      <c r="C92" s="3">
        <f t="shared" si="6"/>
        <v>11.833150164731968</v>
      </c>
      <c r="D92" s="3">
        <f t="shared" si="7"/>
        <v>5.1907606724554654E-2</v>
      </c>
      <c r="E92">
        <f t="shared" si="10"/>
        <v>8.7054252991241671E-2</v>
      </c>
    </row>
    <row r="93" spans="2:5" x14ac:dyDescent="0.25">
      <c r="B93">
        <v>2082</v>
      </c>
      <c r="C93" s="3">
        <f t="shared" si="6"/>
        <v>12.306476171321247</v>
      </c>
      <c r="D93" s="3">
        <f t="shared" si="7"/>
        <v>4.9526523847281505E-2</v>
      </c>
      <c r="E93">
        <f t="shared" si="10"/>
        <v>8.3060938633845255E-2</v>
      </c>
    </row>
    <row r="94" spans="2:5" x14ac:dyDescent="0.25">
      <c r="B94">
        <v>2083</v>
      </c>
      <c r="C94" s="3">
        <f t="shared" si="6"/>
        <v>12.798735218174098</v>
      </c>
      <c r="D94" s="3">
        <f t="shared" ref="D94:D157" si="11">+C94/(1+$C$5)^(B94-$B$29)</f>
        <v>4.7254664955204369E-2</v>
      </c>
      <c r="E94">
        <f t="shared" si="10"/>
        <v>7.9250803834127595E-2</v>
      </c>
    </row>
    <row r="95" spans="2:5" x14ac:dyDescent="0.25">
      <c r="B95">
        <v>2084</v>
      </c>
      <c r="C95" s="3">
        <f t="shared" ref="C95:C158" si="12">+C94*(1+$C$4)</f>
        <v>13.310684626901063</v>
      </c>
      <c r="D95" s="3">
        <f t="shared" si="11"/>
        <v>4.5087019773772975E-2</v>
      </c>
      <c r="E95">
        <f t="shared" si="10"/>
        <v>7.5615445860085048E-2</v>
      </c>
    </row>
    <row r="96" spans="2:5" x14ac:dyDescent="0.25">
      <c r="B96">
        <v>2085</v>
      </c>
      <c r="C96" s="3">
        <f t="shared" si="12"/>
        <v>13.843112011977105</v>
      </c>
      <c r="D96" s="3">
        <f t="shared" si="11"/>
        <v>4.3018807857544861E-2</v>
      </c>
      <c r="E96">
        <f t="shared" si="10"/>
        <v>7.2146847426136182E-2</v>
      </c>
    </row>
    <row r="97" spans="2:5" x14ac:dyDescent="0.25">
      <c r="B97">
        <v>2086</v>
      </c>
      <c r="C97" s="3">
        <f t="shared" si="12"/>
        <v>14.39683649245619</v>
      </c>
      <c r="D97" s="3">
        <f t="shared" si="11"/>
        <v>4.1045468047565731E-2</v>
      </c>
      <c r="E97">
        <f t="shared" si="10"/>
        <v>6.883735901209323E-2</v>
      </c>
    </row>
    <row r="98" spans="2:5" x14ac:dyDescent="0.25">
      <c r="B98">
        <v>2087</v>
      </c>
      <c r="C98" s="3">
        <f t="shared" si="12"/>
        <v>14.972709952154439</v>
      </c>
      <c r="D98" s="3">
        <f t="shared" si="11"/>
        <v>3.9162648412356296E-2</v>
      </c>
      <c r="E98">
        <f t="shared" si="10"/>
        <v>6.5679681993189881E-2</v>
      </c>
    </row>
    <row r="99" spans="2:5" x14ac:dyDescent="0.25">
      <c r="B99">
        <v>2088</v>
      </c>
      <c r="C99" s="3">
        <f t="shared" si="12"/>
        <v>15.571618350240618</v>
      </c>
      <c r="D99" s="3">
        <f t="shared" si="11"/>
        <v>3.7366196650321606E-2</v>
      </c>
      <c r="E99">
        <f t="shared" si="10"/>
        <v>6.2666852543960996E-2</v>
      </c>
    </row>
    <row r="100" spans="2:5" x14ac:dyDescent="0.25">
      <c r="B100">
        <v>2089</v>
      </c>
      <c r="C100" s="3">
        <f t="shared" si="12"/>
        <v>16.194483084250244</v>
      </c>
      <c r="D100" s="3">
        <f t="shared" si="11"/>
        <v>3.565215093241695E-2</v>
      </c>
      <c r="E100">
        <f t="shared" si="10"/>
        <v>5.9792226280476542E-2</v>
      </c>
    </row>
    <row r="101" spans="2:5" x14ac:dyDescent="0.25">
      <c r="B101">
        <v>2090</v>
      </c>
      <c r="C101" s="3">
        <f t="shared" si="12"/>
        <v>16.842262407620254</v>
      </c>
      <c r="D101" s="3">
        <f t="shared" si="11"/>
        <v>3.4016731164874886E-2</v>
      </c>
      <c r="E101">
        <f t="shared" ref="E101:E164" si="13">+C101/(1+$C$5)^(B101-$B$35)</f>
        <v>5.7049463607060182E-2</v>
      </c>
    </row>
    <row r="102" spans="2:5" x14ac:dyDescent="0.25">
      <c r="B102">
        <v>2091</v>
      </c>
      <c r="C102" s="3">
        <f t="shared" si="12"/>
        <v>17.515952903925065</v>
      </c>
      <c r="D102" s="3">
        <f t="shared" si="11"/>
        <v>3.2456330652724658E-2</v>
      </c>
      <c r="E102">
        <f t="shared" si="13"/>
        <v>5.4432515735176691E-2</v>
      </c>
    </row>
    <row r="103" spans="2:5" x14ac:dyDescent="0.25">
      <c r="B103">
        <v>2092</v>
      </c>
      <c r="C103" s="3">
        <f t="shared" si="12"/>
        <v>18.216591020082067</v>
      </c>
      <c r="D103" s="3">
        <f t="shared" si="11"/>
        <v>3.0967508145718935E-2</v>
      </c>
      <c r="E103">
        <f t="shared" si="13"/>
        <v>5.1935611343654819E-2</v>
      </c>
    </row>
    <row r="104" spans="2:5" x14ac:dyDescent="0.25">
      <c r="B104">
        <v>2093</v>
      </c>
      <c r="C104" s="3">
        <f t="shared" si="12"/>
        <v>18.94525466088535</v>
      </c>
      <c r="D104" s="3">
        <f t="shared" si="11"/>
        <v>2.9546980249126328E-2</v>
      </c>
      <c r="E104">
        <f t="shared" si="13"/>
        <v>4.9553243850826614E-2</v>
      </c>
    </row>
    <row r="105" spans="2:5" x14ac:dyDescent="0.25">
      <c r="B105">
        <v>2094</v>
      </c>
      <c r="C105" s="3">
        <f t="shared" si="12"/>
        <v>19.703064847320764</v>
      </c>
      <c r="D105" s="3">
        <f t="shared" si="11"/>
        <v>2.8191614182652643E-2</v>
      </c>
      <c r="E105">
        <f t="shared" si="13"/>
        <v>4.7280159270513468E-2</v>
      </c>
    </row>
    <row r="106" spans="2:5" x14ac:dyDescent="0.25">
      <c r="B106">
        <v>2095</v>
      </c>
      <c r="C106" s="3">
        <f t="shared" si="12"/>
        <v>20.491187441213594</v>
      </c>
      <c r="D106" s="3">
        <f t="shared" si="11"/>
        <v>2.6898420871521781E-2</v>
      </c>
      <c r="E106">
        <f t="shared" si="13"/>
        <v>4.5111344625077064E-2</v>
      </c>
    </row>
    <row r="107" spans="2:5" x14ac:dyDescent="0.25">
      <c r="B107">
        <v>2096</v>
      </c>
      <c r="C107" s="3">
        <f t="shared" si="12"/>
        <v>21.31083493886214</v>
      </c>
      <c r="D107" s="3">
        <f t="shared" si="11"/>
        <v>2.56645483544795E-2</v>
      </c>
      <c r="E107">
        <f t="shared" si="13"/>
        <v>4.3042016889981792E-2</v>
      </c>
    </row>
    <row r="108" spans="2:5" x14ac:dyDescent="0.25">
      <c r="B108">
        <v>2097</v>
      </c>
      <c r="C108" s="3">
        <f t="shared" si="12"/>
        <v>22.163268336416625</v>
      </c>
      <c r="D108" s="3">
        <f t="shared" si="11"/>
        <v>2.4487275494182274E-2</v>
      </c>
      <c r="E108">
        <f t="shared" si="13"/>
        <v>4.1067612445487206E-2</v>
      </c>
    </row>
    <row r="109" spans="2:5" x14ac:dyDescent="0.25">
      <c r="B109">
        <v>2098</v>
      </c>
      <c r="C109" s="3">
        <f t="shared" si="12"/>
        <v>23.049799069873291</v>
      </c>
      <c r="D109" s="3">
        <f t="shared" si="11"/>
        <v>2.336400597610052E-2</v>
      </c>
      <c r="E109">
        <f t="shared" si="13"/>
        <v>3.9183777012207974E-2</v>
      </c>
    </row>
    <row r="110" spans="2:5" x14ac:dyDescent="0.25">
      <c r="B110">
        <v>2099</v>
      </c>
      <c r="C110" s="3">
        <f t="shared" si="12"/>
        <v>23.971791032668225</v>
      </c>
      <c r="D110" s="3">
        <f t="shared" si="11"/>
        <v>2.2292262582701415E-2</v>
      </c>
      <c r="E110">
        <f t="shared" si="13"/>
        <v>3.7386356048345233E-2</v>
      </c>
    </row>
    <row r="111" spans="2:5" x14ac:dyDescent="0.25">
      <c r="B111">
        <v>2100</v>
      </c>
      <c r="C111" s="3">
        <f t="shared" si="12"/>
        <v>24.930662673974954</v>
      </c>
      <c r="D111" s="3">
        <f t="shared" si="11"/>
        <v>2.1269681730283912E-2</v>
      </c>
      <c r="E111">
        <f t="shared" si="13"/>
        <v>3.5671385587411966E-2</v>
      </c>
    </row>
    <row r="112" spans="2:5" x14ac:dyDescent="0.25">
      <c r="B112">
        <v>2101</v>
      </c>
      <c r="C112" s="3">
        <f t="shared" si="12"/>
        <v>25.927889180933953</v>
      </c>
      <c r="D112" s="3">
        <f t="shared" si="11"/>
        <v>2.0294008256417681E-2</v>
      </c>
      <c r="E112">
        <f t="shared" si="13"/>
        <v>3.4035083496246267E-2</v>
      </c>
    </row>
    <row r="113" spans="2:5" x14ac:dyDescent="0.25">
      <c r="B113">
        <v>2102</v>
      </c>
      <c r="C113" s="3">
        <f t="shared" si="12"/>
        <v>26.96500474817131</v>
      </c>
      <c r="D113" s="3">
        <f t="shared" si="11"/>
        <v>1.9363090446490264E-2</v>
      </c>
      <c r="E113">
        <f t="shared" si="13"/>
        <v>3.2473841134033135E-2</v>
      </c>
    </row>
    <row r="114" spans="2:5" x14ac:dyDescent="0.25">
      <c r="B114">
        <v>2103</v>
      </c>
      <c r="C114" s="3">
        <f t="shared" si="12"/>
        <v>28.043604938098163</v>
      </c>
      <c r="D114" s="3">
        <f t="shared" si="11"/>
        <v>1.8474875288394376E-2</v>
      </c>
      <c r="E114">
        <f t="shared" si="13"/>
        <v>3.0984215393939873E-2</v>
      </c>
    </row>
    <row r="115" spans="2:5" x14ac:dyDescent="0.25">
      <c r="B115">
        <v>2104</v>
      </c>
      <c r="C115" s="3">
        <f t="shared" si="12"/>
        <v>29.16534913562209</v>
      </c>
      <c r="D115" s="3">
        <f t="shared" si="11"/>
        <v>1.7627403944890048E-2</v>
      </c>
      <c r="E115">
        <f t="shared" si="13"/>
        <v>2.9562921109814191E-2</v>
      </c>
    </row>
    <row r="116" spans="2:5" x14ac:dyDescent="0.25">
      <c r="B116">
        <v>2105</v>
      </c>
      <c r="C116" s="3">
        <f t="shared" si="12"/>
        <v>30.331963101046973</v>
      </c>
      <c r="D116" s="3">
        <f t="shared" si="11"/>
        <v>1.681880743365656E-2</v>
      </c>
      <c r="E116">
        <f t="shared" si="13"/>
        <v>2.8206823811198864E-2</v>
      </c>
    </row>
    <row r="117" spans="2:5" x14ac:dyDescent="0.25">
      <c r="B117">
        <v>2106</v>
      </c>
      <c r="C117" s="3">
        <f t="shared" si="12"/>
        <v>31.545241625088853</v>
      </c>
      <c r="D117" s="3">
        <f t="shared" si="11"/>
        <v>1.6047302505507174E-2</v>
      </c>
      <c r="E117">
        <f t="shared" si="13"/>
        <v>2.6912932810685145E-2</v>
      </c>
    </row>
    <row r="118" spans="2:5" x14ac:dyDescent="0.25">
      <c r="B118">
        <v>2107</v>
      </c>
      <c r="C118" s="3">
        <f t="shared" si="12"/>
        <v>32.80705129009241</v>
      </c>
      <c r="D118" s="3">
        <f t="shared" si="11"/>
        <v>1.5311187711676569E-2</v>
      </c>
      <c r="E118">
        <f t="shared" si="13"/>
        <v>2.567839460836014E-2</v>
      </c>
    </row>
    <row r="119" spans="2:5" x14ac:dyDescent="0.25">
      <c r="B119">
        <v>2108</v>
      </c>
      <c r="C119" s="3">
        <f t="shared" si="12"/>
        <v>34.119333341696105</v>
      </c>
      <c r="D119" s="3">
        <f t="shared" si="11"/>
        <v>1.4608839651507917E-2</v>
      </c>
      <c r="E119">
        <f t="shared" si="13"/>
        <v>2.4500486598802336E-2</v>
      </c>
    </row>
    <row r="120" spans="2:5" x14ac:dyDescent="0.25">
      <c r="B120">
        <v>2109</v>
      </c>
      <c r="C120" s="3">
        <f t="shared" si="12"/>
        <v>35.484106675363954</v>
      </c>
      <c r="D120" s="3">
        <f t="shared" si="11"/>
        <v>1.3938709392264437E-2</v>
      </c>
      <c r="E120">
        <f t="shared" si="13"/>
        <v>2.3376611066747179E-2</v>
      </c>
    </row>
    <row r="121" spans="2:5" x14ac:dyDescent="0.25">
      <c r="B121">
        <v>2110</v>
      </c>
      <c r="C121" s="3">
        <f t="shared" si="12"/>
        <v>36.903470942378512</v>
      </c>
      <c r="D121" s="3">
        <f t="shared" si="11"/>
        <v>1.3299319053169738E-2</v>
      </c>
      <c r="E121">
        <f t="shared" si="13"/>
        <v>2.2304289458180797E-2</v>
      </c>
    </row>
    <row r="122" spans="2:5" x14ac:dyDescent="0.25">
      <c r="B122">
        <v>2111</v>
      </c>
      <c r="C122" s="3">
        <f t="shared" si="12"/>
        <v>38.37960978007365</v>
      </c>
      <c r="D122" s="3">
        <f t="shared" si="11"/>
        <v>1.2689258546143603E-2</v>
      </c>
      <c r="E122">
        <f t="shared" si="13"/>
        <v>2.128115691422755E-2</v>
      </c>
    </row>
    <row r="123" spans="2:5" x14ac:dyDescent="0.25">
      <c r="B123">
        <v>2112</v>
      </c>
      <c r="C123" s="3">
        <f t="shared" si="12"/>
        <v>39.914794171276597</v>
      </c>
      <c r="D123" s="3">
        <f t="shared" si="11"/>
        <v>1.2107182466045269E-2</v>
      </c>
      <c r="E123">
        <f t="shared" si="13"/>
        <v>2.0304957055776743E-2</v>
      </c>
    </row>
    <row r="124" spans="2:5" x14ac:dyDescent="0.25">
      <c r="B124">
        <v>2113</v>
      </c>
      <c r="C124" s="3">
        <f t="shared" si="12"/>
        <v>41.51138593812766</v>
      </c>
      <c r="D124" s="3">
        <f t="shared" si="11"/>
        <v>1.155180712356613E-2</v>
      </c>
      <c r="E124">
        <f t="shared" si="13"/>
        <v>1.9373537007346613E-2</v>
      </c>
    </row>
    <row r="125" spans="2:5" x14ac:dyDescent="0.25">
      <c r="B125">
        <v>2114</v>
      </c>
      <c r="C125" s="3">
        <f t="shared" si="12"/>
        <v>43.171841375652768</v>
      </c>
      <c r="D125" s="3">
        <f t="shared" si="11"/>
        <v>1.1021907714228233E-2</v>
      </c>
      <c r="E125">
        <f t="shared" si="13"/>
        <v>1.8484842649211446E-2</v>
      </c>
    </row>
    <row r="126" spans="2:5" x14ac:dyDescent="0.25">
      <c r="B126">
        <v>2115</v>
      </c>
      <c r="C126" s="3">
        <f t="shared" si="12"/>
        <v>44.898715030678879</v>
      </c>
      <c r="D126" s="3">
        <f t="shared" si="11"/>
        <v>1.0516315617245286E-2</v>
      </c>
      <c r="E126">
        <f t="shared" si="13"/>
        <v>1.7636914087321012E-2</v>
      </c>
    </row>
    <row r="127" spans="2:5" x14ac:dyDescent="0.25">
      <c r="B127">
        <v>2116</v>
      </c>
      <c r="C127" s="3">
        <f t="shared" si="12"/>
        <v>46.694663631906039</v>
      </c>
      <c r="D127" s="3">
        <f t="shared" si="11"/>
        <v>1.003391581828908E-2</v>
      </c>
      <c r="E127">
        <f t="shared" si="13"/>
        <v>1.6827881331021886E-2</v>
      </c>
    </row>
    <row r="128" spans="2:5" x14ac:dyDescent="0.25">
      <c r="B128">
        <v>2117</v>
      </c>
      <c r="C128" s="3">
        <f t="shared" si="12"/>
        <v>48.562450177182285</v>
      </c>
      <c r="D128" s="3">
        <f t="shared" si="11"/>
        <v>9.5736444504776544E-3</v>
      </c>
      <c r="E128">
        <f t="shared" si="13"/>
        <v>1.6055960169048405E-2</v>
      </c>
    </row>
    <row r="129" spans="2:5" x14ac:dyDescent="0.25">
      <c r="B129">
        <v>2118</v>
      </c>
      <c r="C129" s="3">
        <f t="shared" si="12"/>
        <v>50.50494818426958</v>
      </c>
      <c r="D129" s="3">
        <f t="shared" si="11"/>
        <v>9.1344864481621661E-3</v>
      </c>
      <c r="E129">
        <f t="shared" si="13"/>
        <v>1.5319448234688386E-2</v>
      </c>
    </row>
    <row r="130" spans="2:5" x14ac:dyDescent="0.25">
      <c r="B130">
        <v>2119</v>
      </c>
      <c r="C130" s="3">
        <f t="shared" si="12"/>
        <v>52.525146111640368</v>
      </c>
      <c r="D130" s="3">
        <f t="shared" si="11"/>
        <v>8.715473308338214E-3</v>
      </c>
      <c r="E130">
        <f t="shared" si="13"/>
        <v>1.4616721251445803E-2</v>
      </c>
    </row>
    <row r="131" spans="2:5" x14ac:dyDescent="0.25">
      <c r="B131">
        <v>2120</v>
      </c>
      <c r="C131" s="3">
        <f t="shared" si="12"/>
        <v>54.626151956105986</v>
      </c>
      <c r="D131" s="3">
        <f t="shared" si="11"/>
        <v>8.315680954744718E-3</v>
      </c>
      <c r="E131">
        <f t="shared" si="13"/>
        <v>1.3946229450920765E-2</v>
      </c>
    </row>
    <row r="132" spans="2:5" x14ac:dyDescent="0.25">
      <c r="B132">
        <v>2121</v>
      </c>
      <c r="C132" s="3">
        <f t="shared" si="12"/>
        <v>56.811198034350227</v>
      </c>
      <c r="D132" s="3">
        <f t="shared" si="11"/>
        <v>7.9342276999399153E-3</v>
      </c>
      <c r="E132">
        <f t="shared" si="13"/>
        <v>1.3306494155006969E-2</v>
      </c>
    </row>
    <row r="133" spans="2:5" x14ac:dyDescent="0.25">
      <c r="B133">
        <v>2122</v>
      </c>
      <c r="C133" s="3">
        <f t="shared" si="12"/>
        <v>59.083645955724236</v>
      </c>
      <c r="D133" s="3">
        <f t="shared" si="11"/>
        <v>7.5702723008601027E-3</v>
      </c>
      <c r="E133">
        <f t="shared" si="13"/>
        <v>1.2696104514869033E-2</v>
      </c>
    </row>
    <row r="134" spans="2:5" x14ac:dyDescent="0.25">
      <c r="B134">
        <v>2123</v>
      </c>
      <c r="C134" s="3">
        <f t="shared" si="12"/>
        <v>61.44699179395321</v>
      </c>
      <c r="D134" s="3">
        <f t="shared" si="11"/>
        <v>7.223012103572941E-3</v>
      </c>
      <c r="E134">
        <f t="shared" si="13"/>
        <v>1.2113714399508067E-2</v>
      </c>
    </row>
    <row r="135" spans="2:5" x14ac:dyDescent="0.25">
      <c r="B135">
        <v>2124</v>
      </c>
      <c r="C135" s="3">
        <f t="shared" si="12"/>
        <v>63.904871465711338</v>
      </c>
      <c r="D135" s="3">
        <f t="shared" si="11"/>
        <v>6.8916812731338152E-3</v>
      </c>
      <c r="E135">
        <f t="shared" si="13"/>
        <v>1.1558039427053569E-2</v>
      </c>
    </row>
    <row r="136" spans="2:5" x14ac:dyDescent="0.25">
      <c r="B136">
        <v>2125</v>
      </c>
      <c r="C136" s="3">
        <f t="shared" si="12"/>
        <v>66.461066324339797</v>
      </c>
      <c r="D136" s="3">
        <f t="shared" si="11"/>
        <v>6.5755491046414387E-3</v>
      </c>
      <c r="E136">
        <f t="shared" si="13"/>
        <v>1.1027854132234598E-2</v>
      </c>
    </row>
    <row r="137" spans="2:5" x14ac:dyDescent="0.25">
      <c r="B137">
        <v>2126</v>
      </c>
      <c r="C137" s="3">
        <f t="shared" si="12"/>
        <v>69.119508977313387</v>
      </c>
      <c r="D137" s="3">
        <f t="shared" si="11"/>
        <v>6.2739184117679781E-3</v>
      </c>
      <c r="E137">
        <f t="shared" si="13"/>
        <v>1.0521989263783468E-2</v>
      </c>
    </row>
    <row r="138" spans="2:5" x14ac:dyDescent="0.25">
      <c r="B138">
        <v>2127</v>
      </c>
      <c r="C138" s="3">
        <f t="shared" si="12"/>
        <v>71.884289336405928</v>
      </c>
      <c r="D138" s="3">
        <f t="shared" si="11"/>
        <v>5.9861239892098133E-3</v>
      </c>
      <c r="E138">
        <f t="shared" si="13"/>
        <v>1.0039329205811751E-2</v>
      </c>
    </row>
    <row r="139" spans="2:5" x14ac:dyDescent="0.25">
      <c r="B139">
        <v>2128</v>
      </c>
      <c r="C139" s="3">
        <f t="shared" si="12"/>
        <v>74.759660909862163</v>
      </c>
      <c r="D139" s="3">
        <f t="shared" si="11"/>
        <v>5.7115311456680789E-3</v>
      </c>
      <c r="E139">
        <f t="shared" si="13"/>
        <v>9.5788095174717622E-3</v>
      </c>
    </row>
    <row r="140" spans="2:5" x14ac:dyDescent="0.25">
      <c r="B140">
        <v>2129</v>
      </c>
      <c r="C140" s="3">
        <f t="shared" si="12"/>
        <v>77.75004734625665</v>
      </c>
      <c r="D140" s="3">
        <f t="shared" si="11"/>
        <v>5.4495343041236714E-3</v>
      </c>
      <c r="E140">
        <f t="shared" si="13"/>
        <v>9.1394145854776423E-3</v>
      </c>
    </row>
    <row r="141" spans="2:5" x14ac:dyDescent="0.25">
      <c r="B141">
        <v>2130</v>
      </c>
      <c r="C141" s="3">
        <f t="shared" si="12"/>
        <v>80.860049240106918</v>
      </c>
      <c r="D141" s="3">
        <f t="shared" si="11"/>
        <v>5.1995556663198324E-3</v>
      </c>
      <c r="E141">
        <f t="shared" si="13"/>
        <v>8.7201753843089442E-3</v>
      </c>
    </row>
    <row r="142" spans="2:5" x14ac:dyDescent="0.25">
      <c r="B142">
        <v>2131</v>
      </c>
      <c r="C142" s="3">
        <f t="shared" si="12"/>
        <v>84.094451209711195</v>
      </c>
      <c r="D142" s="3">
        <f t="shared" si="11"/>
        <v>4.9610439385069961E-3</v>
      </c>
      <c r="E142">
        <f t="shared" si="13"/>
        <v>8.3201673391571571E-3</v>
      </c>
    </row>
    <row r="143" spans="2:5" x14ac:dyDescent="0.25">
      <c r="B143">
        <v>2132</v>
      </c>
      <c r="C143" s="3">
        <f t="shared" si="12"/>
        <v>87.458229258099649</v>
      </c>
      <c r="D143" s="3">
        <f t="shared" si="11"/>
        <v>4.733473115639702E-3</v>
      </c>
      <c r="E143">
        <f t="shared" si="13"/>
        <v>7.9385082869022419E-3</v>
      </c>
    </row>
    <row r="144" spans="2:5" x14ac:dyDescent="0.25">
      <c r="B144">
        <v>2133</v>
      </c>
      <c r="C144" s="3">
        <f t="shared" si="12"/>
        <v>90.956558428423634</v>
      </c>
      <c r="D144" s="3">
        <f t="shared" si="11"/>
        <v>4.5163413213443028E-3</v>
      </c>
      <c r="E144">
        <f t="shared" si="13"/>
        <v>7.5743565306223212E-3</v>
      </c>
    </row>
    <row r="145" spans="2:5" x14ac:dyDescent="0.25">
      <c r="B145">
        <v>2134</v>
      </c>
      <c r="C145" s="3">
        <f t="shared" si="12"/>
        <v>94.594820765560584</v>
      </c>
      <c r="D145" s="3">
        <f t="shared" si="11"/>
        <v>4.3091697010991517E-3</v>
      </c>
      <c r="E145">
        <f t="shared" si="13"/>
        <v>7.2269089833460684E-3</v>
      </c>
    </row>
    <row r="146" spans="2:5" x14ac:dyDescent="0.25">
      <c r="B146">
        <v>2135</v>
      </c>
      <c r="C146" s="3">
        <f t="shared" si="12"/>
        <v>98.378613596183015</v>
      </c>
      <c r="D146" s="3">
        <f t="shared" si="11"/>
        <v>4.1115013661863469E-3</v>
      </c>
      <c r="E146">
        <f t="shared" si="13"/>
        <v>6.8953993969540469E-3</v>
      </c>
    </row>
    <row r="147" spans="2:5" x14ac:dyDescent="0.25">
      <c r="B147">
        <v>2136</v>
      </c>
      <c r="C147" s="3">
        <f t="shared" si="12"/>
        <v>102.31375814003034</v>
      </c>
      <c r="D147" s="3">
        <f t="shared" si="11"/>
        <v>3.9229003860860555E-3</v>
      </c>
      <c r="E147">
        <f t="shared" si="13"/>
        <v>6.5790966723231281E-3</v>
      </c>
    </row>
    <row r="148" spans="2:5" x14ac:dyDescent="0.25">
      <c r="B148">
        <v>2137</v>
      </c>
      <c r="C148" s="3">
        <f t="shared" si="12"/>
        <v>106.40630846563157</v>
      </c>
      <c r="D148" s="3">
        <f t="shared" si="11"/>
        <v>3.7429508270912831E-3</v>
      </c>
      <c r="E148">
        <f t="shared" si="13"/>
        <v>6.2773032469872056E-3</v>
      </c>
    </row>
    <row r="149" spans="2:5" x14ac:dyDescent="0.25">
      <c r="B149">
        <v>2138</v>
      </c>
      <c r="C149" s="3">
        <f t="shared" si="12"/>
        <v>110.66256080425684</v>
      </c>
      <c r="D149" s="3">
        <f t="shared" si="11"/>
        <v>3.5712558350228757E-3</v>
      </c>
      <c r="E149">
        <f t="shared" si="13"/>
        <v>5.989353556758433E-3</v>
      </c>
    </row>
    <row r="150" spans="2:5" x14ac:dyDescent="0.25">
      <c r="B150">
        <v>2139</v>
      </c>
      <c r="C150" s="3">
        <f t="shared" si="12"/>
        <v>115.08906323642712</v>
      </c>
      <c r="D150" s="3">
        <f t="shared" si="11"/>
        <v>3.4074367600218257E-3</v>
      </c>
      <c r="E150">
        <f t="shared" si="13"/>
        <v>5.7146125679163043E-3</v>
      </c>
    </row>
    <row r="151" spans="2:5" x14ac:dyDescent="0.25">
      <c r="B151">
        <v>2140</v>
      </c>
      <c r="C151" s="3">
        <f t="shared" si="12"/>
        <v>119.69262576588422</v>
      </c>
      <c r="D151" s="3">
        <f t="shared" si="11"/>
        <v>3.2511323214887144E-3</v>
      </c>
      <c r="E151">
        <f t="shared" si="13"/>
        <v>5.4524743767274831E-3</v>
      </c>
    </row>
    <row r="152" spans="2:5" x14ac:dyDescent="0.25">
      <c r="B152">
        <v>2141</v>
      </c>
      <c r="C152" s="3">
        <f t="shared" si="12"/>
        <v>124.4803307965196</v>
      </c>
      <c r="D152" s="3">
        <f t="shared" si="11"/>
        <v>3.1019978113286822E-3</v>
      </c>
      <c r="E152">
        <f t="shared" si="13"/>
        <v>5.2023608732078746E-3</v>
      </c>
    </row>
    <row r="153" spans="2:5" x14ac:dyDescent="0.25">
      <c r="B153">
        <v>2142</v>
      </c>
      <c r="C153" s="3">
        <f t="shared" si="12"/>
        <v>129.45954402838038</v>
      </c>
      <c r="D153" s="3">
        <f t="shared" si="11"/>
        <v>2.9597043337447975E-3</v>
      </c>
      <c r="E153">
        <f t="shared" si="13"/>
        <v>4.9637204661799892E-3</v>
      </c>
    </row>
    <row r="154" spans="2:5" x14ac:dyDescent="0.25">
      <c r="B154">
        <v>2143</v>
      </c>
      <c r="C154" s="3">
        <f t="shared" si="12"/>
        <v>134.63792578951561</v>
      </c>
      <c r="D154" s="3">
        <f t="shared" si="11"/>
        <v>2.823938079903293E-3</v>
      </c>
      <c r="E154">
        <f t="shared" si="13"/>
        <v>4.7360268668139357E-3</v>
      </c>
    </row>
    <row r="155" spans="2:5" x14ac:dyDescent="0.25">
      <c r="B155">
        <v>2144</v>
      </c>
      <c r="C155" s="3">
        <f t="shared" si="12"/>
        <v>140.02344282109624</v>
      </c>
      <c r="D155" s="3">
        <f t="shared" si="11"/>
        <v>2.6943996358710317E-3</v>
      </c>
      <c r="E155">
        <f t="shared" si="13"/>
        <v>4.5187779279692595E-3</v>
      </c>
    </row>
    <row r="156" spans="2:5" x14ac:dyDescent="0.25">
      <c r="B156">
        <v>2145</v>
      </c>
      <c r="C156" s="3">
        <f t="shared" si="12"/>
        <v>145.6243805339401</v>
      </c>
      <c r="D156" s="3">
        <f t="shared" si="11"/>
        <v>2.5708033222989666E-3</v>
      </c>
      <c r="E156">
        <f t="shared" si="13"/>
        <v>4.3114945367780082E-3</v>
      </c>
    </row>
    <row r="157" spans="2:5" x14ac:dyDescent="0.25">
      <c r="B157">
        <v>2146</v>
      </c>
      <c r="C157" s="3">
        <f t="shared" si="12"/>
        <v>151.44935575529772</v>
      </c>
      <c r="D157" s="3">
        <f t="shared" si="11"/>
        <v>2.4528765643953444E-3</v>
      </c>
      <c r="E157">
        <f t="shared" si="13"/>
        <v>4.1137195580267238E-3</v>
      </c>
    </row>
    <row r="158" spans="2:5" x14ac:dyDescent="0.25">
      <c r="B158">
        <v>2147</v>
      </c>
      <c r="C158" s="3">
        <f t="shared" si="12"/>
        <v>157.50732998550964</v>
      </c>
      <c r="D158" s="3">
        <f t="shared" ref="D158:D221" si="14">+C158/(1+$C$5)^(B158-$B$29)</f>
        <v>2.3403592907992278E-3</v>
      </c>
      <c r="E158">
        <f t="shared" si="13"/>
        <v>3.9250168260071498E-3</v>
      </c>
    </row>
    <row r="159" spans="2:5" x14ac:dyDescent="0.25">
      <c r="B159">
        <v>2148</v>
      </c>
      <c r="C159" s="3">
        <f t="shared" ref="C159:C222" si="15">+C158*(1+$C$4)</f>
        <v>163.80762318493004</v>
      </c>
      <c r="D159" s="3">
        <f t="shared" si="14"/>
        <v>2.2330033600286205E-3</v>
      </c>
      <c r="E159">
        <f t="shared" si="13"/>
        <v>3.7449701826123265E-3</v>
      </c>
    </row>
    <row r="160" spans="2:5" x14ac:dyDescent="0.25">
      <c r="B160">
        <v>2149</v>
      </c>
      <c r="C160" s="3">
        <f t="shared" si="15"/>
        <v>170.35992811232725</v>
      </c>
      <c r="D160" s="3">
        <f t="shared" si="14"/>
        <v>2.130572013238317E-3</v>
      </c>
      <c r="E160">
        <f t="shared" si="13"/>
        <v>3.5731825595567155E-3</v>
      </c>
    </row>
    <row r="161" spans="2:5" x14ac:dyDescent="0.25">
      <c r="B161">
        <v>2150</v>
      </c>
      <c r="C161" s="3">
        <f t="shared" si="15"/>
        <v>177.17432523682035</v>
      </c>
      <c r="D161" s="3">
        <f t="shared" si="14"/>
        <v>2.0328393520805963E-3</v>
      </c>
      <c r="E161">
        <f t="shared" si="13"/>
        <v>3.4092751026963152E-3</v>
      </c>
    </row>
    <row r="162" spans="2:5" x14ac:dyDescent="0.25">
      <c r="B162">
        <v>2151</v>
      </c>
      <c r="C162" s="3">
        <f t="shared" si="15"/>
        <v>184.26129824629317</v>
      </c>
      <c r="D162" s="3">
        <f t="shared" si="14"/>
        <v>1.9395898405172658E-3</v>
      </c>
      <c r="E162">
        <f t="shared" si="13"/>
        <v>3.2528863365175855E-3</v>
      </c>
    </row>
    <row r="163" spans="2:5" x14ac:dyDescent="0.25">
      <c r="B163">
        <v>2152</v>
      </c>
      <c r="C163" s="3">
        <f t="shared" si="15"/>
        <v>191.63175017614489</v>
      </c>
      <c r="D163" s="3">
        <f t="shared" si="14"/>
        <v>1.8506178294843639E-3</v>
      </c>
      <c r="E163">
        <f t="shared" si="13"/>
        <v>3.1036713669525583E-3</v>
      </c>
    </row>
    <row r="164" spans="2:5" x14ac:dyDescent="0.25">
      <c r="B164">
        <v>2153</v>
      </c>
      <c r="C164" s="3">
        <f t="shared" si="15"/>
        <v>199.29702018319068</v>
      </c>
      <c r="D164" s="3">
        <f t="shared" si="14"/>
        <v>1.7657271033612279E-3</v>
      </c>
      <c r="E164">
        <f t="shared" si="13"/>
        <v>2.9613011207620739E-3</v>
      </c>
    </row>
    <row r="165" spans="2:5" x14ac:dyDescent="0.25">
      <c r="B165">
        <v>2154</v>
      </c>
      <c r="C165" s="3">
        <f t="shared" si="15"/>
        <v>207.26890099051832</v>
      </c>
      <c r="D165" s="3">
        <f t="shared" si="14"/>
        <v>1.68473044724374E-3</v>
      </c>
      <c r="E165">
        <f t="shared" ref="E165:E228" si="16">+C165/(1+$C$5)^(B165-$B$35)</f>
        <v>2.8254616198096849E-3</v>
      </c>
    </row>
    <row r="166" spans="2:5" x14ac:dyDescent="0.25">
      <c r="B166">
        <v>2155</v>
      </c>
      <c r="C166" s="3">
        <f t="shared" si="15"/>
        <v>215.55965703013905</v>
      </c>
      <c r="D166" s="3">
        <f t="shared" si="14"/>
        <v>1.6074492340674216E-3</v>
      </c>
      <c r="E166">
        <f t="shared" si="16"/>
        <v>2.6958532886257542E-3</v>
      </c>
    </row>
    <row r="167" spans="2:5" x14ac:dyDescent="0.25">
      <c r="B167">
        <v>2156</v>
      </c>
      <c r="C167" s="3">
        <f t="shared" si="15"/>
        <v>224.18204331134461</v>
      </c>
      <c r="D167" s="3">
        <f t="shared" si="14"/>
        <v>1.5337130306698333E-3</v>
      </c>
      <c r="E167">
        <f t="shared" si="16"/>
        <v>2.5721902937346649E-3</v>
      </c>
    </row>
    <row r="168" spans="2:5" x14ac:dyDescent="0.25">
      <c r="B168">
        <v>2157</v>
      </c>
      <c r="C168" s="3">
        <f t="shared" si="15"/>
        <v>233.1493250437984</v>
      </c>
      <c r="D168" s="3">
        <f t="shared" si="14"/>
        <v>1.4633592219235108E-3</v>
      </c>
      <c r="E168">
        <f t="shared" si="16"/>
        <v>2.4541999132881203E-3</v>
      </c>
    </row>
    <row r="169" spans="2:5" x14ac:dyDescent="0.25">
      <c r="B169">
        <v>2158</v>
      </c>
      <c r="C169" s="3">
        <f t="shared" si="15"/>
        <v>242.47529804555035</v>
      </c>
      <c r="D169" s="3">
        <f t="shared" si="14"/>
        <v>1.3962326521105059E-3</v>
      </c>
      <c r="E169">
        <f t="shared" si="16"/>
        <v>2.3416219356143532E-3</v>
      </c>
    </row>
    <row r="170" spans="2:5" x14ac:dyDescent="0.25">
      <c r="B170">
        <v>2159</v>
      </c>
      <c r="C170" s="3">
        <f t="shared" si="15"/>
        <v>252.17430996737238</v>
      </c>
      <c r="D170" s="3">
        <f t="shared" si="14"/>
        <v>1.3321852827476383E-3</v>
      </c>
      <c r="E170">
        <f t="shared" si="16"/>
        <v>2.2342080853568142E-3</v>
      </c>
    </row>
    <row r="171" spans="2:5" x14ac:dyDescent="0.25">
      <c r="B171">
        <v>2160</v>
      </c>
      <c r="C171" s="3">
        <f t="shared" si="15"/>
        <v>262.26128236606729</v>
      </c>
      <c r="D171" s="3">
        <f t="shared" si="14"/>
        <v>1.2710758661078384E-3</v>
      </c>
      <c r="E171">
        <f t="shared" si="16"/>
        <v>2.1317214759367766E-3</v>
      </c>
    </row>
    <row r="172" spans="2:5" x14ac:dyDescent="0.25">
      <c r="B172">
        <v>2161</v>
      </c>
      <c r="C172" s="3">
        <f t="shared" si="15"/>
        <v>272.75173366070999</v>
      </c>
      <c r="D172" s="3">
        <f t="shared" si="14"/>
        <v>1.2127696337175707E-3</v>
      </c>
      <c r="E172">
        <f t="shared" si="16"/>
        <v>2.0339360871323374E-3</v>
      </c>
    </row>
    <row r="173" spans="2:5" x14ac:dyDescent="0.25">
      <c r="B173">
        <v>2162</v>
      </c>
      <c r="C173" s="3">
        <f t="shared" si="15"/>
        <v>283.66180300713842</v>
      </c>
      <c r="D173" s="3">
        <f t="shared" si="14"/>
        <v>1.1571379991433704E-3</v>
      </c>
      <c r="E173">
        <f t="shared" si="16"/>
        <v>1.9406362666216797E-3</v>
      </c>
    </row>
    <row r="174" spans="2:5" x14ac:dyDescent="0.25">
      <c r="B174">
        <v>2163</v>
      </c>
      <c r="C174" s="3">
        <f t="shared" si="15"/>
        <v>295.00827512742399</v>
      </c>
      <c r="D174" s="3">
        <f t="shared" si="14"/>
        <v>1.1040582744120233E-3</v>
      </c>
      <c r="E174">
        <f t="shared" si="16"/>
        <v>1.8516162543913278E-3</v>
      </c>
    </row>
    <row r="175" spans="2:5" x14ac:dyDescent="0.25">
      <c r="B175">
        <v>2164</v>
      </c>
      <c r="C175" s="3">
        <f t="shared" si="15"/>
        <v>306.80860613252094</v>
      </c>
      <c r="D175" s="3">
        <f t="shared" si="14"/>
        <v>1.0534133994389945E-3</v>
      </c>
      <c r="E175">
        <f t="shared" si="16"/>
        <v>1.7666797289605329E-3</v>
      </c>
    </row>
    <row r="176" spans="2:5" x14ac:dyDescent="0.25">
      <c r="B176">
        <v>2165</v>
      </c>
      <c r="C176" s="3">
        <f t="shared" si="15"/>
        <v>319.08095037782181</v>
      </c>
      <c r="D176" s="3">
        <f t="shared" si="14"/>
        <v>1.0050916838683984E-3</v>
      </c>
      <c r="E176">
        <f t="shared" si="16"/>
        <v>1.6856393744210587E-3</v>
      </c>
    </row>
    <row r="177" spans="2:5" x14ac:dyDescent="0.25">
      <c r="B177">
        <v>2166</v>
      </c>
      <c r="C177" s="3">
        <f t="shared" si="15"/>
        <v>331.84418839293471</v>
      </c>
      <c r="D177" s="3">
        <f t="shared" si="14"/>
        <v>9.5898656075516918E-4</v>
      </c>
      <c r="E177">
        <f t="shared" si="16"/>
        <v>1.608316467337524E-3</v>
      </c>
    </row>
    <row r="178" spans="2:5" x14ac:dyDescent="0.25">
      <c r="B178">
        <v>2167</v>
      </c>
      <c r="C178" s="3">
        <f t="shared" si="15"/>
        <v>345.11795592865212</v>
      </c>
      <c r="D178" s="3">
        <f t="shared" si="14"/>
        <v>9.1499635154621646E-4</v>
      </c>
      <c r="E178">
        <f t="shared" si="16"/>
        <v>1.5345404825972708E-3</v>
      </c>
    </row>
    <row r="179" spans="2:5" x14ac:dyDescent="0.25">
      <c r="B179">
        <v>2168</v>
      </c>
      <c r="C179" s="3">
        <f t="shared" si="15"/>
        <v>358.92267416579824</v>
      </c>
      <c r="D179" s="3">
        <f t="shared" si="14"/>
        <v>8.7302404184226156E-4</v>
      </c>
      <c r="E179">
        <f t="shared" si="16"/>
        <v>1.4641487173405153E-3</v>
      </c>
    </row>
    <row r="180" spans="2:5" x14ac:dyDescent="0.25">
      <c r="B180">
        <v>2169</v>
      </c>
      <c r="C180" s="3">
        <f t="shared" si="15"/>
        <v>373.27958113243017</v>
      </c>
      <c r="D180" s="3">
        <f t="shared" si="14"/>
        <v>8.3297706744582761E-4</v>
      </c>
      <c r="E180">
        <f t="shared" si="16"/>
        <v>1.3969859321414091E-3</v>
      </c>
    </row>
    <row r="181" spans="2:5" x14ac:dyDescent="0.25">
      <c r="B181">
        <v>2170</v>
      </c>
      <c r="C181" s="3">
        <f t="shared" si="15"/>
        <v>388.2107643777274</v>
      </c>
      <c r="D181" s="3">
        <f t="shared" si="14"/>
        <v>7.9476711022354182E-4</v>
      </c>
      <c r="E181">
        <f t="shared" si="16"/>
        <v>1.3329040086486838E-3</v>
      </c>
    </row>
    <row r="182" spans="2:5" x14ac:dyDescent="0.25">
      <c r="B182">
        <v>2171</v>
      </c>
      <c r="C182" s="3">
        <f t="shared" si="15"/>
        <v>403.7391949528365</v>
      </c>
      <c r="D182" s="3">
        <f t="shared" si="14"/>
        <v>7.583099033325536E-4</v>
      </c>
      <c r="E182">
        <f t="shared" si="16"/>
        <v>1.2717616229308542E-3</v>
      </c>
    </row>
    <row r="183" spans="2:5" x14ac:dyDescent="0.25">
      <c r="B183">
        <v>2172</v>
      </c>
      <c r="C183" s="3">
        <f t="shared" si="15"/>
        <v>419.88876275094998</v>
      </c>
      <c r="D183" s="3">
        <f t="shared" si="14"/>
        <v>7.23525045381519E-4</v>
      </c>
      <c r="E183">
        <f t="shared" si="16"/>
        <v>1.2134239338055857E-3</v>
      </c>
    </row>
    <row r="184" spans="2:5" x14ac:dyDescent="0.25">
      <c r="B184">
        <v>2173</v>
      </c>
      <c r="C184" s="3">
        <f t="shared" si="15"/>
        <v>436.68431326098801</v>
      </c>
      <c r="D184" s="3">
        <f t="shared" si="14"/>
        <v>6.903358231163118E-4</v>
      </c>
      <c r="E184">
        <f t="shared" si="16"/>
        <v>1.1577622854658798E-3</v>
      </c>
    </row>
    <row r="185" spans="2:5" x14ac:dyDescent="0.25">
      <c r="B185">
        <v>2174</v>
      </c>
      <c r="C185" s="3">
        <f t="shared" si="15"/>
        <v>454.15168579142755</v>
      </c>
      <c r="D185" s="3">
        <f t="shared" si="14"/>
        <v>6.5866904223941679E-4</v>
      </c>
      <c r="E185">
        <f t="shared" si="16"/>
        <v>1.1046539237472616E-3</v>
      </c>
    </row>
    <row r="186" spans="2:5" x14ac:dyDescent="0.25">
      <c r="B186">
        <v>2175</v>
      </c>
      <c r="C186" s="3">
        <f t="shared" si="15"/>
        <v>472.31775322308465</v>
      </c>
      <c r="D186" s="3">
        <f t="shared" si="14"/>
        <v>6.2845486598990215E-4</v>
      </c>
      <c r="E186">
        <f t="shared" si="16"/>
        <v>1.0539817254102313E-3</v>
      </c>
    </row>
    <row r="187" spans="2:5" x14ac:dyDescent="0.25">
      <c r="B187">
        <v>2176</v>
      </c>
      <c r="C187" s="3">
        <f t="shared" si="15"/>
        <v>491.21046335200805</v>
      </c>
      <c r="D187" s="3">
        <f t="shared" si="14"/>
        <v>5.9962666112798007E-4</v>
      </c>
      <c r="E187">
        <f t="shared" si="16"/>
        <v>1.0056339398409543E-3</v>
      </c>
    </row>
    <row r="188" spans="2:5" x14ac:dyDescent="0.25">
      <c r="B188">
        <v>2177</v>
      </c>
      <c r="C188" s="3">
        <f t="shared" si="15"/>
        <v>510.8588818860884</v>
      </c>
      <c r="D188" s="3">
        <f t="shared" si="14"/>
        <v>5.7212085098449475E-4</v>
      </c>
      <c r="E188">
        <f t="shared" si="16"/>
        <v>9.5950394260054352E-4</v>
      </c>
    </row>
    <row r="189" spans="2:5" x14ac:dyDescent="0.25">
      <c r="B189">
        <v>2178</v>
      </c>
      <c r="C189" s="3">
        <f t="shared" si="15"/>
        <v>531.29323716153192</v>
      </c>
      <c r="D189" s="3">
        <f t="shared" si="14"/>
        <v>5.4587677525126102E-4</v>
      </c>
      <c r="E189">
        <f t="shared" si="16"/>
        <v>9.1549000027941769E-4</v>
      </c>
    </row>
    <row r="190" spans="2:5" x14ac:dyDescent="0.25">
      <c r="B190">
        <v>2179</v>
      </c>
      <c r="C190" s="3">
        <f t="shared" si="15"/>
        <v>552.54496664799319</v>
      </c>
      <c r="D190" s="3">
        <f t="shared" si="14"/>
        <v>5.2083655620303805E-4</v>
      </c>
      <c r="E190">
        <f t="shared" si="16"/>
        <v>8.7349504613815998E-4</v>
      </c>
    </row>
    <row r="191" spans="2:5" x14ac:dyDescent="0.25">
      <c r="B191">
        <v>2180</v>
      </c>
      <c r="C191" s="3">
        <f t="shared" si="15"/>
        <v>574.64676531391297</v>
      </c>
      <c r="D191" s="3">
        <f t="shared" si="14"/>
        <v>4.9694497105610958E-4</v>
      </c>
      <c r="E191">
        <f t="shared" si="16"/>
        <v>8.3342646604007932E-4</v>
      </c>
    </row>
    <row r="192" spans="2:5" x14ac:dyDescent="0.25">
      <c r="B192">
        <v>2181</v>
      </c>
      <c r="C192" s="3">
        <f t="shared" si="15"/>
        <v>597.63263592646945</v>
      </c>
      <c r="D192" s="3">
        <f t="shared" si="14"/>
        <v>4.741493301819761E-4</v>
      </c>
      <c r="E192">
        <f t="shared" si="16"/>
        <v>7.9519589420337829E-4</v>
      </c>
    </row>
    <row r="193" spans="2:5" x14ac:dyDescent="0.25">
      <c r="B193">
        <v>2182</v>
      </c>
      <c r="C193" s="3">
        <f t="shared" si="15"/>
        <v>621.53794136352826</v>
      </c>
      <c r="D193" s="3">
        <f t="shared" si="14"/>
        <v>4.5239936090757355E-4</v>
      </c>
      <c r="E193">
        <f t="shared" si="16"/>
        <v>7.587190183224894E-4</v>
      </c>
    </row>
    <row r="194" spans="2:5" x14ac:dyDescent="0.25">
      <c r="B194">
        <v>2183</v>
      </c>
      <c r="C194" s="3">
        <f t="shared" si="15"/>
        <v>646.39945901806936</v>
      </c>
      <c r="D194" s="3">
        <f t="shared" si="14"/>
        <v>4.3164709664575825E-4</v>
      </c>
      <c r="E194">
        <f t="shared" si="16"/>
        <v>7.2391539362879709E-4</v>
      </c>
    </row>
    <row r="195" spans="2:5" x14ac:dyDescent="0.25">
      <c r="B195">
        <v>2184</v>
      </c>
      <c r="C195" s="3">
        <f t="shared" si="15"/>
        <v>672.25543737879218</v>
      </c>
      <c r="D195" s="3">
        <f t="shared" si="14"/>
        <v>4.1184677111154913E-4</v>
      </c>
      <c r="E195">
        <f t="shared" si="16"/>
        <v>6.9070826548068719E-4</v>
      </c>
    </row>
    <row r="196" spans="2:5" x14ac:dyDescent="0.25">
      <c r="B196">
        <v>2185</v>
      </c>
      <c r="C196" s="3">
        <f t="shared" si="15"/>
        <v>699.14565487394384</v>
      </c>
      <c r="D196" s="3">
        <f t="shared" si="14"/>
        <v>3.9295471739083591E-4</v>
      </c>
      <c r="E196">
        <f t="shared" si="16"/>
        <v>6.5902440009166479E-4</v>
      </c>
    </row>
    <row r="197" spans="2:5" x14ac:dyDescent="0.25">
      <c r="B197">
        <v>2186</v>
      </c>
      <c r="C197" s="3">
        <f t="shared" si="15"/>
        <v>727.11148106890164</v>
      </c>
      <c r="D197" s="3">
        <f t="shared" si="14"/>
        <v>3.7492927163896265E-4</v>
      </c>
      <c r="E197">
        <f t="shared" si="16"/>
        <v>6.2879392302323976E-4</v>
      </c>
    </row>
    <row r="198" spans="2:5" x14ac:dyDescent="0.25">
      <c r="B198">
        <v>2187</v>
      </c>
      <c r="C198" s="3">
        <f t="shared" si="15"/>
        <v>756.19594031165775</v>
      </c>
      <c r="D198" s="3">
        <f t="shared" si="14"/>
        <v>3.5773068119680844E-4</v>
      </c>
      <c r="E198">
        <f t="shared" si="16"/>
        <v>5.9995016508639391E-4</v>
      </c>
    </row>
    <row r="199" spans="2:5" x14ac:dyDescent="0.25">
      <c r="B199">
        <v>2188</v>
      </c>
      <c r="C199" s="3">
        <f t="shared" si="15"/>
        <v>786.44377792412411</v>
      </c>
      <c r="D199" s="3">
        <f t="shared" si="14"/>
        <v>3.4132101692172542E-4</v>
      </c>
      <c r="E199">
        <f t="shared" si="16"/>
        <v>5.7242951531178874E-4</v>
      </c>
    </row>
    <row r="200" spans="2:5" x14ac:dyDescent="0.25">
      <c r="B200">
        <v>2189</v>
      </c>
      <c r="C200" s="3">
        <f t="shared" si="15"/>
        <v>817.90152904108913</v>
      </c>
      <c r="D200" s="3">
        <f t="shared" si="14"/>
        <v>3.2566408953999492E-4</v>
      </c>
      <c r="E200">
        <f t="shared" si="16"/>
        <v>5.4617128066445904E-4</v>
      </c>
    </row>
    <row r="201" spans="2:5" x14ac:dyDescent="0.25">
      <c r="B201">
        <v>2190</v>
      </c>
      <c r="C201" s="3">
        <f t="shared" si="15"/>
        <v>850.61759020273269</v>
      </c>
      <c r="D201" s="3">
        <f t="shared" si="14"/>
        <v>3.1072536983632544E-4</v>
      </c>
      <c r="E201">
        <f t="shared" si="16"/>
        <v>5.2111755219361221E-4</v>
      </c>
    </row>
    <row r="202" spans="2:5" x14ac:dyDescent="0.25">
      <c r="B202">
        <v>2191</v>
      </c>
      <c r="C202" s="3">
        <f t="shared" si="15"/>
        <v>884.64229381084203</v>
      </c>
      <c r="D202" s="3">
        <f t="shared" si="14"/>
        <v>2.9647191250438382E-4</v>
      </c>
      <c r="E202">
        <f t="shared" si="16"/>
        <v>4.9721307732234572E-4</v>
      </c>
    </row>
    <row r="203" spans="2:5" x14ac:dyDescent="0.25">
      <c r="B203">
        <v>2192</v>
      </c>
      <c r="C203" s="3">
        <f t="shared" si="15"/>
        <v>920.02798556327571</v>
      </c>
      <c r="D203" s="3">
        <f t="shared" si="14"/>
        <v>2.8287228349042128E-4</v>
      </c>
      <c r="E203">
        <f t="shared" si="16"/>
        <v>4.7440513799563251E-4</v>
      </c>
    </row>
    <row r="204" spans="2:5" x14ac:dyDescent="0.25">
      <c r="B204">
        <v>2193</v>
      </c>
      <c r="C204" s="3">
        <f t="shared" si="15"/>
        <v>956.82910498580679</v>
      </c>
      <c r="D204" s="3">
        <f t="shared" si="14"/>
        <v>2.6989649066975981E-4</v>
      </c>
      <c r="E204">
        <f t="shared" si="16"/>
        <v>4.5264343441785122E-4</v>
      </c>
    </row>
    <row r="205" spans="2:5" x14ac:dyDescent="0.25">
      <c r="B205">
        <v>2194</v>
      </c>
      <c r="C205" s="3">
        <f t="shared" si="15"/>
        <v>995.10226918523915</v>
      </c>
      <c r="D205" s="3">
        <f t="shared" si="14"/>
        <v>2.5751591770325702E-4</v>
      </c>
      <c r="E205">
        <f t="shared" si="16"/>
        <v>4.3187997412345429E-4</v>
      </c>
    </row>
    <row r="206" spans="2:5" x14ac:dyDescent="0.25">
      <c r="B206">
        <v>2195</v>
      </c>
      <c r="C206" s="3">
        <f t="shared" si="15"/>
        <v>1034.9063599526487</v>
      </c>
      <c r="D206" s="3">
        <f t="shared" si="14"/>
        <v>2.4570326092787826E-4</v>
      </c>
      <c r="E206">
        <f t="shared" si="16"/>
        <v>4.1206896613613987E-4</v>
      </c>
    </row>
    <row r="207" spans="2:5" x14ac:dyDescent="0.25">
      <c r="B207">
        <v>2196</v>
      </c>
      <c r="C207" s="3">
        <f t="shared" si="15"/>
        <v>1076.3026143507548</v>
      </c>
      <c r="D207" s="3">
        <f t="shared" si="14"/>
        <v>2.3443246914219573E-4</v>
      </c>
      <c r="E207">
        <f t="shared" si="16"/>
        <v>3.9316671998310604E-4</v>
      </c>
    </row>
    <row r="208" spans="2:5" x14ac:dyDescent="0.25">
      <c r="B208">
        <v>2197</v>
      </c>
      <c r="C208" s="3">
        <f t="shared" si="15"/>
        <v>1119.3547189247849</v>
      </c>
      <c r="D208" s="3">
        <f t="shared" si="14"/>
        <v>2.2367868615402159E-4</v>
      </c>
      <c r="E208">
        <f t="shared" si="16"/>
        <v>3.7513154934167904E-4</v>
      </c>
    </row>
    <row r="209" spans="2:5" x14ac:dyDescent="0.25">
      <c r="B209">
        <v>2198</v>
      </c>
      <c r="C209" s="3">
        <f t="shared" si="15"/>
        <v>1164.1289076817764</v>
      </c>
      <c r="D209" s="3">
        <f t="shared" si="14"/>
        <v>2.1341819596347019E-4</v>
      </c>
      <c r="E209">
        <f t="shared" si="16"/>
        <v>3.579236801058222E-4</v>
      </c>
    </row>
    <row r="210" spans="2:5" x14ac:dyDescent="0.25">
      <c r="B210">
        <v>2199</v>
      </c>
      <c r="C210" s="3">
        <f t="shared" si="15"/>
        <v>1210.6940639890474</v>
      </c>
      <c r="D210" s="3">
        <f t="shared" si="14"/>
        <v>2.0362837046055871E-4</v>
      </c>
      <c r="E210">
        <f t="shared" si="16"/>
        <v>3.4150516266977536E-4</v>
      </c>
    </row>
    <row r="211" spans="2:5" x14ac:dyDescent="0.25">
      <c r="B211">
        <v>2200</v>
      </c>
      <c r="C211" s="3">
        <f t="shared" si="15"/>
        <v>1259.1218265486093</v>
      </c>
      <c r="D211" s="3">
        <f t="shared" si="14"/>
        <v>1.9428761952200094E-4</v>
      </c>
      <c r="E211">
        <f t="shared" si="16"/>
        <v>3.2583978823538194E-4</v>
      </c>
    </row>
    <row r="212" spans="2:5" x14ac:dyDescent="0.25">
      <c r="B212">
        <v>2201</v>
      </c>
      <c r="C212" s="3">
        <f t="shared" si="15"/>
        <v>1309.4866996105536</v>
      </c>
      <c r="D212" s="3">
        <f t="shared" si="14"/>
        <v>1.8537534339713852E-4</v>
      </c>
      <c r="E212">
        <f t="shared" si="16"/>
        <v>3.1089300895852952E-4</v>
      </c>
    </row>
    <row r="213" spans="2:5" x14ac:dyDescent="0.25">
      <c r="B213">
        <v>2202</v>
      </c>
      <c r="C213" s="3">
        <f t="shared" si="15"/>
        <v>1361.8661675949759</v>
      </c>
      <c r="D213" s="3">
        <f t="shared" si="14"/>
        <v>1.7687188727800372E-4</v>
      </c>
      <c r="E213">
        <f t="shared" si="16"/>
        <v>2.9663186175859694E-4</v>
      </c>
    </row>
    <row r="214" spans="2:5" x14ac:dyDescent="0.25">
      <c r="B214">
        <v>2203</v>
      </c>
      <c r="C214" s="3">
        <f t="shared" si="15"/>
        <v>1416.3408142987751</v>
      </c>
      <c r="D214" s="3">
        <f t="shared" si="14"/>
        <v>1.6875849795332465E-4</v>
      </c>
      <c r="E214">
        <f t="shared" si="16"/>
        <v>2.8302489562288146E-4</v>
      </c>
    </row>
    <row r="215" spans="2:5" x14ac:dyDescent="0.25">
      <c r="B215">
        <v>2204</v>
      </c>
      <c r="C215" s="3">
        <f t="shared" si="15"/>
        <v>1472.9944468707261</v>
      </c>
      <c r="D215" s="3">
        <f t="shared" si="14"/>
        <v>1.6101728245087853E-4</v>
      </c>
      <c r="E215">
        <f t="shared" si="16"/>
        <v>2.7004210224568513E-4</v>
      </c>
    </row>
    <row r="216" spans="2:5" x14ac:dyDescent="0.25">
      <c r="B216">
        <v>2205</v>
      </c>
      <c r="C216" s="3">
        <f t="shared" si="15"/>
        <v>1531.9142247455552</v>
      </c>
      <c r="D216" s="3">
        <f t="shared" si="14"/>
        <v>1.5363116857698505E-4</v>
      </c>
      <c r="E216">
        <f t="shared" si="16"/>
        <v>2.5765484984909405E-4</v>
      </c>
    </row>
    <row r="217" spans="2:5" x14ac:dyDescent="0.25">
      <c r="B217">
        <v>2206</v>
      </c>
      <c r="C217" s="3">
        <f t="shared" si="15"/>
        <v>1593.1907937353774</v>
      </c>
      <c r="D217" s="3">
        <f t="shared" si="14"/>
        <v>1.4658386726611416E-4</v>
      </c>
      <c r="E217">
        <f t="shared" si="16"/>
        <v>2.4583582003950258E-4</v>
      </c>
    </row>
    <row r="218" spans="2:5" x14ac:dyDescent="0.25">
      <c r="B218">
        <v>2207</v>
      </c>
      <c r="C218" s="3">
        <f t="shared" si="15"/>
        <v>1656.9184254847926</v>
      </c>
      <c r="D218" s="3">
        <f t="shared" si="14"/>
        <v>1.3985983665757681E-4</v>
      </c>
      <c r="E218">
        <f t="shared" si="16"/>
        <v>2.3455894756062634E-4</v>
      </c>
    </row>
    <row r="219" spans="2:5" x14ac:dyDescent="0.25">
      <c r="B219">
        <v>2208</v>
      </c>
      <c r="C219" s="3">
        <f t="shared" si="15"/>
        <v>1723.1951625041843</v>
      </c>
      <c r="D219" s="3">
        <f t="shared" si="14"/>
        <v>1.3344424782007325E-4</v>
      </c>
      <c r="E219">
        <f t="shared" si="16"/>
        <v>2.2379936281013887E-4</v>
      </c>
    </row>
    <row r="220" spans="2:5" x14ac:dyDescent="0.25">
      <c r="B220">
        <v>2209</v>
      </c>
      <c r="C220" s="3">
        <f t="shared" si="15"/>
        <v>1792.1229690043517</v>
      </c>
      <c r="D220" s="3">
        <f t="shared" si="14"/>
        <v>1.2732295204851028E-4</v>
      </c>
      <c r="E220">
        <f t="shared" si="16"/>
        <v>2.1353333699316001E-4</v>
      </c>
    </row>
    <row r="221" spans="2:5" x14ac:dyDescent="0.25">
      <c r="B221">
        <v>2210</v>
      </c>
      <c r="C221" s="3">
        <f t="shared" si="15"/>
        <v>1863.807887764526</v>
      </c>
      <c r="D221" s="3">
        <f t="shared" si="14"/>
        <v>1.2148244966096395E-4</v>
      </c>
      <c r="E221">
        <f t="shared" si="16"/>
        <v>2.0373822979163889E-4</v>
      </c>
    </row>
    <row r="222" spans="2:5" x14ac:dyDescent="0.25">
      <c r="B222">
        <v>2211</v>
      </c>
      <c r="C222" s="3">
        <f t="shared" si="15"/>
        <v>1938.3602032751071</v>
      </c>
      <c r="D222" s="3">
        <f t="shared" ref="D222:D285" si="17">+C222/(1+$C$5)^(B222-$B$29)</f>
        <v>1.1590986022697478E-4</v>
      </c>
      <c r="E222">
        <f t="shared" si="16"/>
        <v>1.943924394342243E-4</v>
      </c>
    </row>
    <row r="223" spans="2:5" x14ac:dyDescent="0.25">
      <c r="B223">
        <v>2212</v>
      </c>
      <c r="C223" s="3">
        <f t="shared" ref="C223:C286" si="18">+C222*(1+$C$4)</f>
        <v>2015.8946114061114</v>
      </c>
      <c r="D223" s="3">
        <f t="shared" si="17"/>
        <v>1.105928941615172E-4</v>
      </c>
      <c r="E223">
        <f t="shared" si="16"/>
        <v>1.8547535505650757E-4</v>
      </c>
    </row>
    <row r="224" spans="2:5" x14ac:dyDescent="0.25">
      <c r="B224">
        <v>2213</v>
      </c>
      <c r="C224" s="3">
        <f t="shared" si="18"/>
        <v>2096.5303958623558</v>
      </c>
      <c r="D224" s="3">
        <f t="shared" si="17"/>
        <v>1.0551982562199807E-4</v>
      </c>
      <c r="E224">
        <f t="shared" si="16"/>
        <v>1.76967311246576E-4</v>
      </c>
    </row>
    <row r="225" spans="2:5" x14ac:dyDescent="0.25">
      <c r="B225">
        <v>2214</v>
      </c>
      <c r="C225" s="3">
        <f t="shared" si="18"/>
        <v>2180.3916116968503</v>
      </c>
      <c r="D225" s="3">
        <f t="shared" si="17"/>
        <v>1.0067946664851192E-4</v>
      </c>
      <c r="E225">
        <f t="shared" si="16"/>
        <v>1.6884954467563215E-4</v>
      </c>
    </row>
    <row r="226" spans="2:5" x14ac:dyDescent="0.25">
      <c r="B226">
        <v>2215</v>
      </c>
      <c r="C226" s="3">
        <f t="shared" si="18"/>
        <v>2267.6072761647242</v>
      </c>
      <c r="D226" s="3">
        <f t="shared" si="17"/>
        <v>9.6061142490323293E-5</v>
      </c>
      <c r="E226">
        <f t="shared" si="16"/>
        <v>1.6110415271803434E-4</v>
      </c>
    </row>
    <row r="227" spans="2:5" x14ac:dyDescent="0.25">
      <c r="B227">
        <v>2216</v>
      </c>
      <c r="C227" s="3">
        <f t="shared" si="18"/>
        <v>2358.3115672113131</v>
      </c>
      <c r="D227" s="3">
        <f t="shared" si="17"/>
        <v>9.1654668064161663E-5</v>
      </c>
      <c r="E227">
        <f t="shared" si="16"/>
        <v>1.5371405396950066E-4</v>
      </c>
    </row>
    <row r="228" spans="2:5" x14ac:dyDescent="0.25">
      <c r="B228">
        <v>2217</v>
      </c>
      <c r="C228" s="3">
        <f t="shared" si="18"/>
        <v>2452.6440298997659</v>
      </c>
      <c r="D228" s="3">
        <f t="shared" si="17"/>
        <v>8.7450325492411139E-5</v>
      </c>
      <c r="E228">
        <f t="shared" si="16"/>
        <v>1.4666295057640431E-4</v>
      </c>
    </row>
    <row r="229" spans="2:5" x14ac:dyDescent="0.25">
      <c r="B229">
        <v>2218</v>
      </c>
      <c r="C229" s="3">
        <f t="shared" si="18"/>
        <v>2550.7497910957568</v>
      </c>
      <c r="D229" s="3">
        <f t="shared" si="17"/>
        <v>8.3438842671658346E-5</v>
      </c>
      <c r="E229">
        <f t="shared" ref="E229:E292" si="19">+C229/(1+$C$5)^(B229-$B$35)</f>
        <v>1.3993529229308299E-4</v>
      </c>
    </row>
    <row r="230" spans="2:5" x14ac:dyDescent="0.25">
      <c r="B230">
        <v>2219</v>
      </c>
      <c r="C230" s="3">
        <f t="shared" si="18"/>
        <v>2652.7797827395871</v>
      </c>
      <c r="D230" s="3">
        <f t="shared" si="17"/>
        <v>7.9611372824334563E-5</v>
      </c>
      <c r="E230">
        <f t="shared" si="19"/>
        <v>1.3351624218789572E-4</v>
      </c>
    </row>
    <row r="231" spans="2:5" x14ac:dyDescent="0.25">
      <c r="B231">
        <v>2220</v>
      </c>
      <c r="C231" s="3">
        <f t="shared" si="18"/>
        <v>2758.8909740491708</v>
      </c>
      <c r="D231" s="3">
        <f t="shared" si="17"/>
        <v>7.5959474988355908E-5</v>
      </c>
      <c r="E231">
        <f t="shared" si="19"/>
        <v>1.273916439223959E-4</v>
      </c>
    </row>
    <row r="232" spans="2:5" x14ac:dyDescent="0.25">
      <c r="B232">
        <v>2221</v>
      </c>
      <c r="C232" s="3">
        <f t="shared" si="18"/>
        <v>2869.2466130111379</v>
      </c>
      <c r="D232" s="3">
        <f t="shared" si="17"/>
        <v>7.2475095401734079E-5</v>
      </c>
      <c r="E232">
        <f t="shared" si="19"/>
        <v>1.2154799053146033E-4</v>
      </c>
    </row>
    <row r="233" spans="2:5" x14ac:dyDescent="0.25">
      <c r="B233">
        <v>2222</v>
      </c>
      <c r="C233" s="3">
        <f t="shared" si="18"/>
        <v>2984.0164775315834</v>
      </c>
      <c r="D233" s="3">
        <f t="shared" si="17"/>
        <v>6.915054974110408E-5</v>
      </c>
      <c r="E233">
        <f t="shared" si="19"/>
        <v>1.1597239463552176E-4</v>
      </c>
    </row>
    <row r="234" spans="2:5" x14ac:dyDescent="0.25">
      <c r="B234">
        <v>2223</v>
      </c>
      <c r="C234" s="3">
        <f t="shared" si="18"/>
        <v>3103.3771366328469</v>
      </c>
      <c r="D234" s="3">
        <f t="shared" si="17"/>
        <v>6.5978506174998384E-5</v>
      </c>
      <c r="E234">
        <f t="shared" si="19"/>
        <v>1.1065256001921343E-4</v>
      </c>
    </row>
    <row r="235" spans="2:5" x14ac:dyDescent="0.25">
      <c r="B235">
        <v>2224</v>
      </c>
      <c r="C235" s="3">
        <f t="shared" si="18"/>
        <v>3227.5122220981611</v>
      </c>
      <c r="D235" s="3">
        <f t="shared" si="17"/>
        <v>6.2951969194493867E-5</v>
      </c>
      <c r="E235">
        <f t="shared" si="19"/>
        <v>1.0557675451374493E-4</v>
      </c>
    </row>
    <row r="236" spans="2:5" x14ac:dyDescent="0.25">
      <c r="B236">
        <v>2225</v>
      </c>
      <c r="C236" s="3">
        <f t="shared" si="18"/>
        <v>3356.6127109820877</v>
      </c>
      <c r="D236" s="3">
        <f t="shared" si="17"/>
        <v>6.006426418557214E-5</v>
      </c>
      <c r="E236">
        <f t="shared" si="19"/>
        <v>1.0073378412320617E-4</v>
      </c>
    </row>
    <row r="237" spans="2:5" x14ac:dyDescent="0.25">
      <c r="B237">
        <v>2226</v>
      </c>
      <c r="C237" s="3">
        <f t="shared" si="18"/>
        <v>3490.8772194213711</v>
      </c>
      <c r="D237" s="3">
        <f t="shared" si="17"/>
        <v>5.7309022709169739E-5</v>
      </c>
      <c r="E237">
        <f t="shared" si="19"/>
        <v>9.6112968337737974E-5</v>
      </c>
    </row>
    <row r="238" spans="2:5" x14ac:dyDescent="0.25">
      <c r="B238">
        <v>2227</v>
      </c>
      <c r="C238" s="3">
        <f t="shared" si="18"/>
        <v>3630.512308198226</v>
      </c>
      <c r="D238" s="3">
        <f t="shared" si="17"/>
        <v>5.4680168456455536E-5</v>
      </c>
      <c r="E238">
        <f t="shared" si="19"/>
        <v>9.1704116579126142E-5</v>
      </c>
    </row>
    <row r="239" spans="2:5" x14ac:dyDescent="0.25">
      <c r="B239">
        <v>2228</v>
      </c>
      <c r="C239" s="3">
        <f t="shared" si="18"/>
        <v>3775.7328005261552</v>
      </c>
      <c r="D239" s="3">
        <f t="shared" si="17"/>
        <v>5.2171903848361233E-5</v>
      </c>
      <c r="E239">
        <f t="shared" si="19"/>
        <v>8.7497505726872671E-5</v>
      </c>
    </row>
    <row r="240" spans="2:5" x14ac:dyDescent="0.25">
      <c r="B240">
        <v>2229</v>
      </c>
      <c r="C240" s="3">
        <f t="shared" si="18"/>
        <v>3926.7621125472015</v>
      </c>
      <c r="D240" s="3">
        <f t="shared" si="17"/>
        <v>4.9778697249812557E-5</v>
      </c>
      <c r="E240">
        <f t="shared" si="19"/>
        <v>8.3483858675181238E-5</v>
      </c>
    </row>
    <row r="241" spans="2:5" x14ac:dyDescent="0.25">
      <c r="B241">
        <v>2230</v>
      </c>
      <c r="C241" s="3">
        <f t="shared" si="18"/>
        <v>4083.8325970490896</v>
      </c>
      <c r="D241" s="3">
        <f t="shared" si="17"/>
        <v>4.7495270770463361E-5</v>
      </c>
      <c r="E241">
        <f t="shared" si="19"/>
        <v>7.9654323873567417E-5</v>
      </c>
    </row>
    <row r="242" spans="2:5" x14ac:dyDescent="0.25">
      <c r="B242">
        <v>2231</v>
      </c>
      <c r="C242" s="3">
        <f t="shared" si="18"/>
        <v>4247.1859009310538</v>
      </c>
      <c r="D242" s="3">
        <f t="shared" si="17"/>
        <v>4.5316588625029257E-5</v>
      </c>
      <c r="E242">
        <f t="shared" si="19"/>
        <v>7.60004558059726E-5</v>
      </c>
    </row>
    <row r="243" spans="2:5" x14ac:dyDescent="0.25">
      <c r="B243">
        <v>2232</v>
      </c>
      <c r="C243" s="3">
        <f t="shared" si="18"/>
        <v>4417.0733369682957</v>
      </c>
      <c r="D243" s="3">
        <f t="shared" si="17"/>
        <v>4.3237846027550845E-5</v>
      </c>
      <c r="E243">
        <f t="shared" si="19"/>
        <v>7.2514196365331646E-5</v>
      </c>
    </row>
    <row r="244" spans="2:5" x14ac:dyDescent="0.25">
      <c r="B244">
        <v>2233</v>
      </c>
      <c r="C244" s="3">
        <f t="shared" si="18"/>
        <v>4593.7562704470274</v>
      </c>
      <c r="D244" s="3">
        <f t="shared" si="17"/>
        <v>4.1254458595094389E-5</v>
      </c>
      <c r="E244">
        <f t="shared" si="19"/>
        <v>6.9187857082518266E-5</v>
      </c>
    </row>
    <row r="245" spans="2:5" x14ac:dyDescent="0.25">
      <c r="B245">
        <v>2234</v>
      </c>
      <c r="C245" s="3">
        <f t="shared" si="18"/>
        <v>4777.5065212649088</v>
      </c>
      <c r="D245" s="3">
        <f t="shared" si="17"/>
        <v>3.9362052237521248E-5</v>
      </c>
      <c r="E245">
        <f t="shared" si="19"/>
        <v>6.6014102170476135E-5</v>
      </c>
    </row>
    <row r="246" spans="2:5" x14ac:dyDescent="0.25">
      <c r="B246">
        <v>2235</v>
      </c>
      <c r="C246" s="3">
        <f t="shared" si="18"/>
        <v>4968.6067821155057</v>
      </c>
      <c r="D246" s="3">
        <f t="shared" si="17"/>
        <v>3.7556453511029441E-5</v>
      </c>
      <c r="E246">
        <f t="shared" si="19"/>
        <v>6.2985932346142383E-5</v>
      </c>
    </row>
    <row r="247" spans="2:5" x14ac:dyDescent="0.25">
      <c r="B247">
        <v>2236</v>
      </c>
      <c r="C247" s="3">
        <f t="shared" si="18"/>
        <v>5167.3510534001261</v>
      </c>
      <c r="D247" s="3">
        <f t="shared" si="17"/>
        <v>3.5833680414193237E-5</v>
      </c>
      <c r="E247">
        <f t="shared" si="19"/>
        <v>6.0096669394484472E-5</v>
      </c>
    </row>
    <row r="248" spans="2:5" x14ac:dyDescent="0.25">
      <c r="B248">
        <v>2237</v>
      </c>
      <c r="C248" s="3">
        <f t="shared" si="18"/>
        <v>5374.0450955361312</v>
      </c>
      <c r="D248" s="3">
        <f t="shared" si="17"/>
        <v>3.418993360620271E-5</v>
      </c>
      <c r="E248">
        <f t="shared" si="19"/>
        <v>5.7339941440609024E-5</v>
      </c>
    </row>
    <row r="249" spans="2:5" x14ac:dyDescent="0.25">
      <c r="B249">
        <v>2238</v>
      </c>
      <c r="C249" s="3">
        <f t="shared" si="18"/>
        <v>5589.0068993575769</v>
      </c>
      <c r="D249" s="3">
        <f t="shared" si="17"/>
        <v>3.2621588027936536E-5</v>
      </c>
      <c r="E249">
        <f t="shared" si="19"/>
        <v>5.4709668897461821E-5</v>
      </c>
    </row>
    <row r="250" spans="2:5" x14ac:dyDescent="0.25">
      <c r="B250">
        <v>2239</v>
      </c>
      <c r="C250" s="3">
        <f t="shared" si="18"/>
        <v>5812.5671753318802</v>
      </c>
      <c r="D250" s="3">
        <f t="shared" si="17"/>
        <v>3.1125184907388992E-5</v>
      </c>
      <c r="E250">
        <f t="shared" si="19"/>
        <v>5.2200051058128721E-5</v>
      </c>
    </row>
    <row r="251" spans="2:5" x14ac:dyDescent="0.25">
      <c r="B251">
        <v>2240</v>
      </c>
      <c r="C251" s="3">
        <f t="shared" si="18"/>
        <v>6045.0698623451553</v>
      </c>
      <c r="D251" s="3">
        <f t="shared" si="17"/>
        <v>2.9697424131820682E-5</v>
      </c>
      <c r="E251">
        <f t="shared" si="19"/>
        <v>4.9805553303168678E-5</v>
      </c>
    </row>
    <row r="252" spans="2:5" x14ac:dyDescent="0.25">
      <c r="B252">
        <v>2241</v>
      </c>
      <c r="C252" s="3">
        <f t="shared" si="18"/>
        <v>6286.872656838962</v>
      </c>
      <c r="D252" s="3">
        <f t="shared" si="17"/>
        <v>2.8335156969810565E-5</v>
      </c>
      <c r="E252">
        <f t="shared" si="19"/>
        <v>4.7520894894766437E-5</v>
      </c>
    </row>
    <row r="253" spans="2:5" x14ac:dyDescent="0.25">
      <c r="B253">
        <v>2242</v>
      </c>
      <c r="C253" s="3">
        <f t="shared" si="18"/>
        <v>6538.3475631125211</v>
      </c>
      <c r="D253" s="3">
        <f t="shared" si="17"/>
        <v>2.7035379127158705E-5</v>
      </c>
      <c r="E253">
        <f t="shared" si="19"/>
        <v>4.5341037330786335E-5</v>
      </c>
    </row>
    <row r="254" spans="2:5" x14ac:dyDescent="0.25">
      <c r="B254">
        <v>2243</v>
      </c>
      <c r="C254" s="3">
        <f t="shared" si="18"/>
        <v>6799.8814656370223</v>
      </c>
      <c r="D254" s="3">
        <f t="shared" si="17"/>
        <v>2.5795224121325736E-5</v>
      </c>
      <c r="E254">
        <f t="shared" si="19"/>
        <v>4.3261173233043834E-5</v>
      </c>
    </row>
    <row r="255" spans="2:5" x14ac:dyDescent="0.25">
      <c r="B255">
        <v>2244</v>
      </c>
      <c r="C255" s="3">
        <f t="shared" si="18"/>
        <v>7071.8767242625036</v>
      </c>
      <c r="D255" s="3">
        <f t="shared" si="17"/>
        <v>2.4611956959797031E-5</v>
      </c>
      <c r="E255">
        <f t="shared" si="19"/>
        <v>4.1276715745289537E-5</v>
      </c>
    </row>
    <row r="256" spans="2:5" x14ac:dyDescent="0.25">
      <c r="B256">
        <v>2245</v>
      </c>
      <c r="C256" s="3">
        <f t="shared" si="18"/>
        <v>7354.7517932330038</v>
      </c>
      <c r="D256" s="3">
        <f t="shared" si="17"/>
        <v>2.3482968108430193E-5</v>
      </c>
      <c r="E256">
        <f t="shared" si="19"/>
        <v>3.9383288417523966E-5</v>
      </c>
    </row>
    <row r="257" spans="2:5" x14ac:dyDescent="0.25">
      <c r="B257">
        <v>2246</v>
      </c>
      <c r="C257" s="3">
        <f t="shared" si="18"/>
        <v>7648.941864962324</v>
      </c>
      <c r="D257" s="3">
        <f t="shared" si="17"/>
        <v>2.2405767736483856E-5</v>
      </c>
      <c r="E257">
        <f t="shared" si="19"/>
        <v>3.757671555433478E-5</v>
      </c>
    </row>
    <row r="258" spans="2:5" x14ac:dyDescent="0.25">
      <c r="B258">
        <v>2247</v>
      </c>
      <c r="C258" s="3">
        <f t="shared" si="18"/>
        <v>7954.8995395608172</v>
      </c>
      <c r="D258" s="3">
        <f t="shared" si="17"/>
        <v>2.137798022563597E-5</v>
      </c>
      <c r="E258">
        <f t="shared" si="19"/>
        <v>3.5853013005970802E-5</v>
      </c>
    </row>
    <row r="259" spans="2:5" x14ac:dyDescent="0.25">
      <c r="B259">
        <v>2248</v>
      </c>
      <c r="C259" s="3">
        <f t="shared" si="18"/>
        <v>8273.0955211432502</v>
      </c>
      <c r="D259" s="3">
        <f t="shared" si="17"/>
        <v>2.0397338930882025E-5</v>
      </c>
      <c r="E259">
        <f t="shared" si="19"/>
        <v>3.4208379381843705E-5</v>
      </c>
    </row>
    <row r="260" spans="2:5" x14ac:dyDescent="0.25">
      <c r="B260">
        <v>2249</v>
      </c>
      <c r="C260" s="3">
        <f t="shared" si="18"/>
        <v>8604.0193419889802</v>
      </c>
      <c r="D260" s="3">
        <f t="shared" si="17"/>
        <v>1.9461681181758998E-5</v>
      </c>
      <c r="E260">
        <f t="shared" si="19"/>
        <v>3.263918766708023E-5</v>
      </c>
    </row>
    <row r="261" spans="2:5" x14ac:dyDescent="0.25">
      <c r="B261">
        <v>2250</v>
      </c>
      <c r="C261" s="3">
        <f t="shared" si="18"/>
        <v>8948.1801156685397</v>
      </c>
      <c r="D261" s="3">
        <f t="shared" si="17"/>
        <v>1.8568943512870971E-5</v>
      </c>
      <c r="E261">
        <f t="shared" si="19"/>
        <v>3.1141977223636178E-5</v>
      </c>
    </row>
    <row r="262" spans="2:5" x14ac:dyDescent="0.25">
      <c r="B262">
        <v>2251</v>
      </c>
      <c r="C262" s="3">
        <f t="shared" si="18"/>
        <v>9306.1073202952812</v>
      </c>
      <c r="D262" s="3">
        <f t="shared" si="17"/>
        <v>1.7717157113197987E-5</v>
      </c>
      <c r="E262">
        <f t="shared" si="19"/>
        <v>2.9713446158331764E-5</v>
      </c>
    </row>
    <row r="263" spans="2:5" x14ac:dyDescent="0.25">
      <c r="B263">
        <v>2252</v>
      </c>
      <c r="C263" s="3">
        <f t="shared" si="18"/>
        <v>9678.3516131070919</v>
      </c>
      <c r="D263" s="3">
        <f t="shared" si="17"/>
        <v>1.6904443484152209E-5</v>
      </c>
      <c r="E263">
        <f t="shared" si="19"/>
        <v>2.8350444040977098E-5</v>
      </c>
    </row>
    <row r="264" spans="2:5" x14ac:dyDescent="0.25">
      <c r="B264">
        <v>2253</v>
      </c>
      <c r="C264" s="3">
        <f t="shared" si="18"/>
        <v>10065.485677631375</v>
      </c>
      <c r="D264" s="3">
        <f t="shared" si="17"/>
        <v>1.6129010296805774E-5</v>
      </c>
      <c r="E264">
        <f t="shared" si="19"/>
        <v>2.7049964956528603E-5</v>
      </c>
    </row>
    <row r="265" spans="2:5" x14ac:dyDescent="0.25">
      <c r="B265">
        <v>2254</v>
      </c>
      <c r="C265" s="3">
        <f t="shared" si="18"/>
        <v>10468.105104736631</v>
      </c>
      <c r="D265" s="3">
        <f t="shared" si="17"/>
        <v>1.5389147439154135E-5</v>
      </c>
      <c r="E265">
        <f t="shared" si="19"/>
        <v>2.5809140875953897E-5</v>
      </c>
    </row>
    <row r="266" spans="2:5" x14ac:dyDescent="0.25">
      <c r="B266">
        <v>2255</v>
      </c>
      <c r="C266" s="3">
        <f t="shared" si="18"/>
        <v>10886.829308926097</v>
      </c>
      <c r="D266" s="3">
        <f t="shared" si="17"/>
        <v>1.4683223244697522E-5</v>
      </c>
      <c r="E266">
        <f t="shared" si="19"/>
        <v>2.4625235331185371E-5</v>
      </c>
    </row>
    <row r="267" spans="2:5" x14ac:dyDescent="0.25">
      <c r="B267">
        <v>2256</v>
      </c>
      <c r="C267" s="3">
        <f t="shared" si="18"/>
        <v>11322.302481283141</v>
      </c>
      <c r="D267" s="3">
        <f t="shared" si="17"/>
        <v>1.4009680894023324E-5</v>
      </c>
      <c r="E267">
        <f t="shared" si="19"/>
        <v>2.3495637380213565E-5</v>
      </c>
    </row>
    <row r="268" spans="2:5" x14ac:dyDescent="0.25">
      <c r="B268">
        <v>2257</v>
      </c>
      <c r="C268" s="3">
        <f t="shared" si="18"/>
        <v>11775.194580534468</v>
      </c>
      <c r="D268" s="3">
        <f t="shared" si="17"/>
        <v>1.3367034981453446E-5</v>
      </c>
      <c r="E268">
        <f t="shared" si="19"/>
        <v>2.2417855849011106E-5</v>
      </c>
    </row>
    <row r="269" spans="2:5" x14ac:dyDescent="0.25">
      <c r="B269">
        <v>2258</v>
      </c>
      <c r="C269" s="3">
        <f t="shared" si="18"/>
        <v>12246.202363755847</v>
      </c>
      <c r="D269" s="3">
        <f t="shared" si="17"/>
        <v>1.2753868239184941E-5</v>
      </c>
      <c r="E269">
        <f t="shared" si="19"/>
        <v>2.1389513837588579E-5</v>
      </c>
    </row>
    <row r="270" spans="2:5" x14ac:dyDescent="0.25">
      <c r="B270">
        <v>2259</v>
      </c>
      <c r="C270" s="3">
        <f t="shared" si="18"/>
        <v>12736.050458306081</v>
      </c>
      <c r="D270" s="3">
        <f t="shared" si="17"/>
        <v>1.2168828411699393E-5</v>
      </c>
      <c r="E270">
        <f t="shared" si="19"/>
        <v>2.0408343478066168E-5</v>
      </c>
    </row>
    <row r="271" spans="2:5" x14ac:dyDescent="0.25">
      <c r="B271">
        <v>2260</v>
      </c>
      <c r="C271" s="3">
        <f t="shared" si="18"/>
        <v>13245.492476638325</v>
      </c>
      <c r="D271" s="3">
        <f t="shared" si="17"/>
        <v>1.1610625273548042E-5</v>
      </c>
      <c r="E271">
        <f t="shared" si="19"/>
        <v>1.9472180933200747E-5</v>
      </c>
    </row>
    <row r="272" spans="2:5" x14ac:dyDescent="0.25">
      <c r="B272">
        <v>2261</v>
      </c>
      <c r="C272" s="3">
        <f t="shared" si="18"/>
        <v>13775.312175703859</v>
      </c>
      <c r="D272" s="3">
        <f t="shared" si="17"/>
        <v>1.1078027783935747E-5</v>
      </c>
      <c r="E272">
        <f t="shared" si="19"/>
        <v>1.8578961624338325E-5</v>
      </c>
    </row>
    <row r="273" spans="2:5" x14ac:dyDescent="0.25">
      <c r="B273">
        <v>2262</v>
      </c>
      <c r="C273" s="3">
        <f t="shared" si="18"/>
        <v>14326.324662732013</v>
      </c>
      <c r="D273" s="3">
        <f t="shared" si="17"/>
        <v>1.0569861371828604E-5</v>
      </c>
      <c r="E273">
        <f t="shared" si="19"/>
        <v>1.772671567826776E-5</v>
      </c>
    </row>
    <row r="274" spans="2:5" x14ac:dyDescent="0.25">
      <c r="B274">
        <v>2263</v>
      </c>
      <c r="C274" s="3">
        <f t="shared" si="18"/>
        <v>14899.377649241294</v>
      </c>
      <c r="D274" s="3">
        <f t="shared" si="17"/>
        <v>1.0085005345597934E-5</v>
      </c>
      <c r="E274">
        <f t="shared" si="19"/>
        <v>1.6913563582934379E-5</v>
      </c>
    </row>
    <row r="275" spans="2:5" x14ac:dyDescent="0.25">
      <c r="B275">
        <v>2264</v>
      </c>
      <c r="C275" s="3">
        <f t="shared" si="18"/>
        <v>15495.352755210946</v>
      </c>
      <c r="D275" s="3">
        <f t="shared" si="17"/>
        <v>9.622390421487937E-6</v>
      </c>
      <c r="E275">
        <f t="shared" si="19"/>
        <v>1.6137712042432799E-5</v>
      </c>
    </row>
    <row r="276" spans="2:5" x14ac:dyDescent="0.25">
      <c r="B276">
        <v>2265</v>
      </c>
      <c r="C276" s="3">
        <f t="shared" si="18"/>
        <v>16115.166865419385</v>
      </c>
      <c r="D276" s="3">
        <f t="shared" si="17"/>
        <v>9.1809963654563798E-6</v>
      </c>
      <c r="E276">
        <f t="shared" si="19"/>
        <v>1.5397450022137717E-5</v>
      </c>
    </row>
    <row r="277" spans="2:5" x14ac:dyDescent="0.25">
      <c r="B277">
        <v>2266</v>
      </c>
      <c r="C277" s="3">
        <f t="shared" si="18"/>
        <v>16759.77354003616</v>
      </c>
      <c r="D277" s="3">
        <f t="shared" si="17"/>
        <v>8.7598497431877373E-6</v>
      </c>
      <c r="E277">
        <f t="shared" si="19"/>
        <v>1.4691144975250662E-5</v>
      </c>
    </row>
    <row r="278" spans="2:5" x14ac:dyDescent="0.25">
      <c r="B278">
        <v>2267</v>
      </c>
      <c r="C278" s="3">
        <f t="shared" si="18"/>
        <v>17430.164481637607</v>
      </c>
      <c r="D278" s="3">
        <f t="shared" si="17"/>
        <v>8.3580217733167382E-6</v>
      </c>
      <c r="E278">
        <f t="shared" si="19"/>
        <v>1.4017239242440999E-5</v>
      </c>
    </row>
    <row r="279" spans="2:5" x14ac:dyDescent="0.25">
      <c r="B279">
        <v>2268</v>
      </c>
      <c r="C279" s="3">
        <f t="shared" si="18"/>
        <v>18127.371060903111</v>
      </c>
      <c r="D279" s="3">
        <f t="shared" si="17"/>
        <v>7.9746262791278977E-6</v>
      </c>
      <c r="E279">
        <f t="shared" si="19"/>
        <v>1.3374246616640954E-5</v>
      </c>
    </row>
    <row r="280" spans="2:5" x14ac:dyDescent="0.25">
      <c r="B280">
        <v>2269</v>
      </c>
      <c r="C280" s="3">
        <f t="shared" si="18"/>
        <v>18852.465903339238</v>
      </c>
      <c r="D280" s="3">
        <f t="shared" si="17"/>
        <v>7.6088177342137751E-6</v>
      </c>
      <c r="E280">
        <f t="shared" si="19"/>
        <v>1.2760749065418894E-5</v>
      </c>
    </row>
    <row r="281" spans="2:5" x14ac:dyDescent="0.25">
      <c r="B281">
        <v>2270</v>
      </c>
      <c r="C281" s="3">
        <f t="shared" si="18"/>
        <v>19606.564539472809</v>
      </c>
      <c r="D281" s="3">
        <f t="shared" si="17"/>
        <v>7.2597893977819511E-6</v>
      </c>
      <c r="E281">
        <f t="shared" si="19"/>
        <v>1.2175393603702431E-5</v>
      </c>
    </row>
    <row r="282" spans="2:5" x14ac:dyDescent="0.25">
      <c r="B282">
        <v>2271</v>
      </c>
      <c r="C282" s="3">
        <f t="shared" si="18"/>
        <v>20390.827121051723</v>
      </c>
      <c r="D282" s="3">
        <f t="shared" si="17"/>
        <v>6.9267715354983756E-6</v>
      </c>
      <c r="E282">
        <f t="shared" si="19"/>
        <v>1.1616889309954614E-5</v>
      </c>
    </row>
    <row r="283" spans="2:5" x14ac:dyDescent="0.25">
      <c r="B283">
        <v>2272</v>
      </c>
      <c r="C283" s="3">
        <f t="shared" si="18"/>
        <v>21206.460205893793</v>
      </c>
      <c r="D283" s="3">
        <f t="shared" si="17"/>
        <v>6.6090297219434027E-6</v>
      </c>
      <c r="E283">
        <f t="shared" si="19"/>
        <v>1.1084004479222749E-5</v>
      </c>
    </row>
    <row r="284" spans="2:5" x14ac:dyDescent="0.25">
      <c r="B284">
        <v>2273</v>
      </c>
      <c r="C284" s="3">
        <f t="shared" si="18"/>
        <v>22054.718614129546</v>
      </c>
      <c r="D284" s="3">
        <f t="shared" si="17"/>
        <v>6.3058632209368261E-6</v>
      </c>
      <c r="E284">
        <f t="shared" si="19"/>
        <v>1.0575563906781338E-5</v>
      </c>
    </row>
    <row r="285" spans="2:5" x14ac:dyDescent="0.25">
      <c r="B285">
        <v>2274</v>
      </c>
      <c r="C285" s="3">
        <f t="shared" si="18"/>
        <v>22936.907358694727</v>
      </c>
      <c r="D285" s="3">
        <f t="shared" si="17"/>
        <v>6.0166034401599062E-6</v>
      </c>
      <c r="E285">
        <f t="shared" si="19"/>
        <v>1.0090446296378522E-5</v>
      </c>
    </row>
    <row r="286" spans="2:5" x14ac:dyDescent="0.25">
      <c r="B286">
        <v>2275</v>
      </c>
      <c r="C286" s="3">
        <f t="shared" si="18"/>
        <v>23854.383653042518</v>
      </c>
      <c r="D286" s="3">
        <f t="shared" ref="D286:D318" si="20">+C286/(1+$C$5)^(B286-$B$29)</f>
        <v>5.7406124566663329E-6</v>
      </c>
      <c r="E286">
        <f t="shared" si="19"/>
        <v>9.6275817873703356E-6</v>
      </c>
    </row>
    <row r="287" spans="2:5" x14ac:dyDescent="0.25">
      <c r="B287">
        <v>2276</v>
      </c>
      <c r="C287" s="3">
        <f t="shared" ref="C287:C318" si="21">+C286*(1+$C$4)</f>
        <v>24808.558999164219</v>
      </c>
      <c r="D287" s="3">
        <f t="shared" si="20"/>
        <v>5.477281610030262E-6</v>
      </c>
      <c r="E287">
        <f t="shared" si="19"/>
        <v>9.1859495952891279E-6</v>
      </c>
    </row>
    <row r="288" spans="2:5" x14ac:dyDescent="0.25">
      <c r="B288">
        <v>2277</v>
      </c>
      <c r="C288" s="3">
        <f t="shared" si="21"/>
        <v>25800.901359130788</v>
      </c>
      <c r="D288" s="3">
        <f t="shared" si="20"/>
        <v>5.2260301600288742E-6</v>
      </c>
      <c r="E288">
        <f t="shared" si="19"/>
        <v>8.7645757606428362E-6</v>
      </c>
    </row>
    <row r="289" spans="2:5" x14ac:dyDescent="0.25">
      <c r="B289">
        <v>2278</v>
      </c>
      <c r="C289" s="3">
        <f t="shared" si="21"/>
        <v>26832.93741349602</v>
      </c>
      <c r="D289" s="3">
        <f t="shared" si="20"/>
        <v>4.9863040058991086E-6</v>
      </c>
      <c r="E289">
        <f t="shared" si="19"/>
        <v>8.3625310009803201E-6</v>
      </c>
    </row>
    <row r="290" spans="2:5" x14ac:dyDescent="0.25">
      <c r="B290">
        <v>2279</v>
      </c>
      <c r="C290" s="3">
        <f t="shared" si="21"/>
        <v>27906.254910035863</v>
      </c>
      <c r="D290" s="3">
        <f t="shared" si="20"/>
        <v>4.7575744643441034E-6</v>
      </c>
      <c r="E290">
        <f t="shared" si="19"/>
        <v>7.9789286614858103E-6</v>
      </c>
    </row>
    <row r="291" spans="2:5" x14ac:dyDescent="0.25">
      <c r="B291">
        <v>2280</v>
      </c>
      <c r="C291" s="3">
        <f t="shared" si="21"/>
        <v>29022.5051064373</v>
      </c>
      <c r="D291" s="3">
        <f t="shared" si="20"/>
        <v>4.5393371035943744E-6</v>
      </c>
      <c r="E291">
        <f t="shared" si="19"/>
        <v>7.6129227595827922E-6</v>
      </c>
    </row>
    <row r="292" spans="2:5" x14ac:dyDescent="0.25">
      <c r="B292">
        <v>2281</v>
      </c>
      <c r="C292" s="3">
        <f t="shared" si="21"/>
        <v>30183.405310694794</v>
      </c>
      <c r="D292" s="3">
        <f t="shared" si="20"/>
        <v>4.3311106309524307E-6</v>
      </c>
      <c r="E292">
        <f t="shared" si="19"/>
        <v>7.2637061192349579E-6</v>
      </c>
    </row>
    <row r="293" spans="2:5" x14ac:dyDescent="0.25">
      <c r="B293">
        <v>2282</v>
      </c>
      <c r="C293" s="3">
        <f t="shared" si="21"/>
        <v>31390.741523122586</v>
      </c>
      <c r="D293" s="3">
        <f t="shared" si="20"/>
        <v>4.132435831367457E-6</v>
      </c>
      <c r="E293">
        <f t="shared" ref="E293:E318" si="22">+C293/(1+$C$5)^(B293-$B$35)</f>
        <v>6.930508590829684E-6</v>
      </c>
    </row>
    <row r="294" spans="2:5" x14ac:dyDescent="0.25">
      <c r="B294">
        <v>2283</v>
      </c>
      <c r="C294" s="3">
        <f t="shared" si="21"/>
        <v>32646.37118404749</v>
      </c>
      <c r="D294" s="3">
        <f t="shared" si="20"/>
        <v>3.9428745546992246E-6</v>
      </c>
      <c r="E294">
        <f t="shared" si="22"/>
        <v>6.6125953527182307E-6</v>
      </c>
    </row>
    <row r="295" spans="2:5" x14ac:dyDescent="0.25">
      <c r="B295">
        <v>2284</v>
      </c>
      <c r="C295" s="3">
        <f t="shared" si="21"/>
        <v>33952.226031409387</v>
      </c>
      <c r="D295" s="3">
        <f t="shared" si="20"/>
        <v>3.7620087494377915E-6</v>
      </c>
      <c r="E295">
        <f t="shared" si="22"/>
        <v>6.3092652906669342E-6</v>
      </c>
    </row>
    <row r="296" spans="2:5" x14ac:dyDescent="0.25">
      <c r="B296">
        <v>2285</v>
      </c>
      <c r="C296" s="3">
        <f t="shared" si="21"/>
        <v>35310.315072665762</v>
      </c>
      <c r="D296" s="3">
        <f t="shared" si="20"/>
        <v>3.5894395407479845E-6</v>
      </c>
      <c r="E296">
        <f t="shared" si="22"/>
        <v>6.0198494516455148E-6</v>
      </c>
    </row>
    <row r="297" spans="2:5" x14ac:dyDescent="0.25">
      <c r="B297">
        <v>2286</v>
      </c>
      <c r="C297" s="3">
        <f t="shared" si="21"/>
        <v>36722.727675572394</v>
      </c>
      <c r="D297" s="3">
        <f t="shared" si="20"/>
        <v>3.424786350805417E-6</v>
      </c>
      <c r="E297">
        <f t="shared" si="22"/>
        <v>5.7437095685425091E-6</v>
      </c>
    </row>
    <row r="298" spans="2:5" x14ac:dyDescent="0.25">
      <c r="B298">
        <v>2287</v>
      </c>
      <c r="C298" s="3">
        <f t="shared" si="21"/>
        <v>38191.636782595291</v>
      </c>
      <c r="D298" s="3">
        <f t="shared" si="20"/>
        <v>3.2676860594840666E-6</v>
      </c>
      <c r="E298">
        <f t="shared" si="22"/>
        <v>5.4802366525543213E-6</v>
      </c>
    </row>
    <row r="299" spans="2:5" x14ac:dyDescent="0.25">
      <c r="B299">
        <v>2288</v>
      </c>
      <c r="C299" s="3">
        <f t="shared" si="21"/>
        <v>39719.302253899106</v>
      </c>
      <c r="D299" s="3">
        <f t="shared" si="20"/>
        <v>3.1177922035444311E-6</v>
      </c>
      <c r="E299">
        <f t="shared" si="22"/>
        <v>5.2288496501435722E-6</v>
      </c>
    </row>
    <row r="300" spans="2:5" x14ac:dyDescent="0.25">
      <c r="B300">
        <v>2289</v>
      </c>
      <c r="C300" s="3">
        <f t="shared" si="21"/>
        <v>41308.074344055072</v>
      </c>
      <c r="D300" s="3">
        <f t="shared" si="20"/>
        <v>2.9747742125561546E-6</v>
      </c>
      <c r="E300">
        <f t="shared" si="22"/>
        <v>4.9889941616048759E-6</v>
      </c>
    </row>
    <row r="301" spans="2:5" x14ac:dyDescent="0.25">
      <c r="B301">
        <v>2290</v>
      </c>
      <c r="C301" s="3">
        <f t="shared" si="21"/>
        <v>42960.397317817275</v>
      </c>
      <c r="D301" s="3">
        <f t="shared" si="20"/>
        <v>2.8383166798700918E-6</v>
      </c>
      <c r="E301">
        <f t="shared" si="22"/>
        <v>4.7601412184119915E-6</v>
      </c>
    </row>
    <row r="302" spans="2:5" x14ac:dyDescent="0.25">
      <c r="B302">
        <v>2291</v>
      </c>
      <c r="C302" s="3">
        <f t="shared" si="21"/>
        <v>44678.813210529966</v>
      </c>
      <c r="D302" s="3">
        <f t="shared" si="20"/>
        <v>2.7081186670320145E-6</v>
      </c>
      <c r="E302">
        <f t="shared" si="22"/>
        <v>4.5417861166499736E-6</v>
      </c>
    </row>
    <row r="303" spans="2:5" x14ac:dyDescent="0.25">
      <c r="B303">
        <v>2292</v>
      </c>
      <c r="C303" s="3">
        <f t="shared" si="21"/>
        <v>46465.965738951163</v>
      </c>
      <c r="D303" s="3">
        <f t="shared" si="20"/>
        <v>2.5838930401039399E-6</v>
      </c>
      <c r="E303">
        <f t="shared" si="22"/>
        <v>4.3334473039596079E-6</v>
      </c>
    </row>
    <row r="304" spans="2:5" x14ac:dyDescent="0.25">
      <c r="B304">
        <v>2293</v>
      </c>
      <c r="C304" s="3">
        <f t="shared" si="21"/>
        <v>48324.604368509208</v>
      </c>
      <c r="D304" s="3">
        <f t="shared" si="20"/>
        <v>2.4653658364294469E-6</v>
      </c>
      <c r="E304">
        <f t="shared" si="22"/>
        <v>4.1346653175394413E-6</v>
      </c>
    </row>
    <row r="305" spans="2:5" x14ac:dyDescent="0.25">
      <c r="B305">
        <v>2294</v>
      </c>
      <c r="C305" s="3">
        <f t="shared" si="21"/>
        <v>50257.588543249578</v>
      </c>
      <c r="D305" s="3">
        <f t="shared" si="20"/>
        <v>2.3522756604464454E-6</v>
      </c>
      <c r="E305">
        <f t="shared" si="22"/>
        <v>3.9450017708633203E-6</v>
      </c>
    </row>
    <row r="306" spans="2:5" x14ac:dyDescent="0.25">
      <c r="B306">
        <v>2295</v>
      </c>
      <c r="C306" s="3">
        <f t="shared" si="21"/>
        <v>52267.892084979561</v>
      </c>
      <c r="D306" s="3">
        <f t="shared" si="20"/>
        <v>2.2443731072149562E-6</v>
      </c>
      <c r="E306">
        <f t="shared" si="22"/>
        <v>3.7640383868787645E-6</v>
      </c>
    </row>
    <row r="307" spans="2:5" x14ac:dyDescent="0.25">
      <c r="B307">
        <v>2296</v>
      </c>
      <c r="C307" s="3">
        <f t="shared" si="21"/>
        <v>54358.607768378744</v>
      </c>
      <c r="D307" s="3">
        <f t="shared" si="20"/>
        <v>2.1414202123885819E-6</v>
      </c>
      <c r="E307">
        <f t="shared" si="22"/>
        <v>3.5913760755540499E-6</v>
      </c>
    </row>
    <row r="308" spans="2:5" x14ac:dyDescent="0.25">
      <c r="B308">
        <v>2297</v>
      </c>
      <c r="C308" s="3">
        <f t="shared" si="21"/>
        <v>56532.952079113893</v>
      </c>
      <c r="D308" s="3">
        <f t="shared" si="20"/>
        <v>2.043189927416629E-6</v>
      </c>
      <c r="E308">
        <f t="shared" si="22"/>
        <v>3.4266340537396441E-6</v>
      </c>
    </row>
    <row r="309" spans="2:5" x14ac:dyDescent="0.25">
      <c r="B309">
        <v>2298</v>
      </c>
      <c r="C309" s="3">
        <f t="shared" si="21"/>
        <v>58794.270162278452</v>
      </c>
      <c r="D309" s="3">
        <f t="shared" si="20"/>
        <v>1.9494656188195359E-6</v>
      </c>
      <c r="E309">
        <f t="shared" si="22"/>
        <v>3.2694490054029626E-6</v>
      </c>
    </row>
    <row r="310" spans="2:5" x14ac:dyDescent="0.25">
      <c r="B310">
        <v>2299</v>
      </c>
      <c r="C310" s="3">
        <f t="shared" si="21"/>
        <v>61146.040968769594</v>
      </c>
      <c r="D310" s="3">
        <f t="shared" si="20"/>
        <v>1.8600405904333184E-6</v>
      </c>
      <c r="E310">
        <f t="shared" si="22"/>
        <v>3.1194742803844782E-6</v>
      </c>
    </row>
    <row r="311" spans="2:5" x14ac:dyDescent="0.25">
      <c r="B311">
        <v>2300</v>
      </c>
      <c r="C311" s="3">
        <f t="shared" si="21"/>
        <v>63591.882607520376</v>
      </c>
      <c r="D311" s="3">
        <f t="shared" si="20"/>
        <v>1.7747176275694046E-6</v>
      </c>
      <c r="E311">
        <f t="shared" si="22"/>
        <v>2.9763791299081265E-6</v>
      </c>
    </row>
    <row r="312" spans="2:5" x14ac:dyDescent="0.25">
      <c r="B312">
        <v>2301</v>
      </c>
      <c r="C312" s="3">
        <f t="shared" si="21"/>
        <v>66135.55791182119</v>
      </c>
      <c r="D312" s="3">
        <f t="shared" si="20"/>
        <v>1.6933085620845696E-6</v>
      </c>
      <c r="E312">
        <f t="shared" si="22"/>
        <v>2.8398479771600466E-6</v>
      </c>
    </row>
    <row r="313" spans="2:5" x14ac:dyDescent="0.25">
      <c r="B313">
        <v>2302</v>
      </c>
      <c r="C313" s="3">
        <f t="shared" si="21"/>
        <v>68780.980228294036</v>
      </c>
      <c r="D313" s="3">
        <f t="shared" si="20"/>
        <v>1.6156338574017911E-6</v>
      </c>
      <c r="E313">
        <f t="shared" si="22"/>
        <v>2.7095797213270164E-6</v>
      </c>
    </row>
    <row r="314" spans="2:5" x14ac:dyDescent="0.25">
      <c r="B314">
        <v>2303</v>
      </c>
      <c r="C314" s="3">
        <f t="shared" si="21"/>
        <v>71532.219437425796</v>
      </c>
      <c r="D314" s="3">
        <f t="shared" si="20"/>
        <v>1.5415222125668464E-6</v>
      </c>
      <c r="E314">
        <f t="shared" si="22"/>
        <v>2.5852870735597224E-6</v>
      </c>
    </row>
    <row r="315" spans="2:5" x14ac:dyDescent="0.25">
      <c r="B315">
        <v>2304</v>
      </c>
      <c r="C315" s="3">
        <f t="shared" si="21"/>
        <v>74393.508214922826</v>
      </c>
      <c r="D315" s="3">
        <f t="shared" si="20"/>
        <v>1.4708101844674494E-6</v>
      </c>
      <c r="E315">
        <f t="shared" si="22"/>
        <v>2.4666959233964323E-6</v>
      </c>
    </row>
    <row r="316" spans="2:5" x14ac:dyDescent="0.25">
      <c r="B316">
        <v>2305</v>
      </c>
      <c r="C316" s="3">
        <f t="shared" si="21"/>
        <v>77369.248543519745</v>
      </c>
      <c r="D316" s="3">
        <f t="shared" si="20"/>
        <v>1.4033418273817867E-6</v>
      </c>
      <c r="E316">
        <f t="shared" si="22"/>
        <v>2.3535447342498068E-6</v>
      </c>
    </row>
    <row r="317" spans="2:5" x14ac:dyDescent="0.25">
      <c r="B317">
        <v>2306</v>
      </c>
      <c r="C317" s="3">
        <f t="shared" si="21"/>
        <v>80464.018485260531</v>
      </c>
      <c r="D317" s="3">
        <f t="shared" si="20"/>
        <v>1.3389683490615214E-6</v>
      </c>
      <c r="E317">
        <f t="shared" si="22"/>
        <v>2.2455839666236685E-6</v>
      </c>
    </row>
    <row r="318" spans="2:5" x14ac:dyDescent="0.25">
      <c r="B318">
        <v>2307</v>
      </c>
      <c r="C318" s="3">
        <f t="shared" si="21"/>
        <v>83682.579224670961</v>
      </c>
      <c r="D318" s="3">
        <f t="shared" si="20"/>
        <v>1.2775477825908092E-6</v>
      </c>
      <c r="E318">
        <f t="shared" si="22"/>
        <v>2.1425755277877206E-6</v>
      </c>
    </row>
    <row r="320" spans="2:5" x14ac:dyDescent="0.25">
      <c r="D320" s="4"/>
    </row>
  </sheetData>
  <mergeCells count="1">
    <mergeCell ref="F9:H9"/>
  </mergeCells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89F08-D79B-480D-BB39-63CC74B6BF10}">
  <dimension ref="A2:L29"/>
  <sheetViews>
    <sheetView workbookViewId="0"/>
  </sheetViews>
  <sheetFormatPr baseColWidth="10" defaultRowHeight="15" x14ac:dyDescent="0.25"/>
  <cols>
    <col min="9" max="9" width="12.5703125" customWidth="1"/>
    <col min="10" max="10" width="11.85546875" customWidth="1"/>
  </cols>
  <sheetData>
    <row r="2" spans="1:12" x14ac:dyDescent="0.25">
      <c r="E2" s="45" t="s">
        <v>24</v>
      </c>
      <c r="F2" s="45"/>
      <c r="G2" s="2"/>
      <c r="I2" s="45" t="s">
        <v>25</v>
      </c>
      <c r="J2" s="45"/>
    </row>
    <row r="3" spans="1:12" x14ac:dyDescent="0.25">
      <c r="C3" t="s">
        <v>23</v>
      </c>
      <c r="E3" s="2" t="s">
        <v>215</v>
      </c>
      <c r="F3" t="s">
        <v>214</v>
      </c>
      <c r="I3" s="2" t="s">
        <v>215</v>
      </c>
      <c r="J3" t="s">
        <v>214</v>
      </c>
      <c r="K3" s="2" t="s">
        <v>0</v>
      </c>
    </row>
    <row r="4" spans="1:12" x14ac:dyDescent="0.25">
      <c r="C4">
        <v>1</v>
      </c>
      <c r="E4" s="3">
        <f>+$C$13*$D$15^$C4</f>
        <v>1.1000000000000001</v>
      </c>
      <c r="F4" s="3">
        <f>+E4/$D$12^$C4</f>
        <v>1.0091743119266054</v>
      </c>
      <c r="G4" s="3"/>
      <c r="H4" s="19"/>
      <c r="I4" s="3">
        <f t="shared" ref="I4:I6" si="0">+$C$13*$D$15^$C4</f>
        <v>1.1000000000000001</v>
      </c>
      <c r="J4" s="3">
        <f>+I4/$D$12^$C4</f>
        <v>1.0091743119266054</v>
      </c>
      <c r="K4" s="1">
        <v>0.1</v>
      </c>
    </row>
    <row r="5" spans="1:12" x14ac:dyDescent="0.25">
      <c r="C5">
        <v>2</v>
      </c>
      <c r="E5" s="3">
        <f t="shared" ref="E5:E6" si="1">+$C$13*$D$15^$C5</f>
        <v>1.2100000000000002</v>
      </c>
      <c r="F5" s="3">
        <f>+E5/$D$12^$C5</f>
        <v>1.0184327918525378</v>
      </c>
      <c r="G5" s="3"/>
      <c r="H5" s="19"/>
      <c r="I5" s="3">
        <f t="shared" si="0"/>
        <v>1.2100000000000002</v>
      </c>
      <c r="J5" s="3">
        <f t="shared" ref="J5:J9" si="2">+I5/$D$12^$C5</f>
        <v>1.0184327918525378</v>
      </c>
      <c r="K5" s="1">
        <v>0.1</v>
      </c>
    </row>
    <row r="6" spans="1:12" x14ac:dyDescent="0.25">
      <c r="C6">
        <v>3</v>
      </c>
      <c r="E6" s="3">
        <f t="shared" si="1"/>
        <v>1.3310000000000004</v>
      </c>
      <c r="F6" s="3">
        <f t="shared" ref="F6" si="3">+E6/$D$12^$C6</f>
        <v>1.0277762119612768</v>
      </c>
      <c r="G6" s="3"/>
      <c r="H6" s="19"/>
      <c r="I6" s="3">
        <f t="shared" si="0"/>
        <v>1.3310000000000004</v>
      </c>
      <c r="J6" s="3">
        <f t="shared" si="2"/>
        <v>1.0277762119612768</v>
      </c>
      <c r="K6" s="1">
        <v>0.1</v>
      </c>
    </row>
    <row r="7" spans="1:12" x14ac:dyDescent="0.25">
      <c r="C7">
        <v>4</v>
      </c>
      <c r="E7" s="3">
        <f>+E6*D14</f>
        <v>1.3842400000000004</v>
      </c>
      <c r="F7" s="3">
        <f>+(E7/($C$12-C14))/$D$12^$C6</f>
        <v>21.377745208794558</v>
      </c>
      <c r="G7" s="3" t="s">
        <v>217</v>
      </c>
      <c r="H7" s="19"/>
      <c r="I7" s="3">
        <f>+I6*$D$16</f>
        <v>1.4374800000000005</v>
      </c>
      <c r="J7" s="3">
        <f t="shared" si="2"/>
        <v>1.018347072401999</v>
      </c>
      <c r="K7" s="1">
        <v>0.08</v>
      </c>
    </row>
    <row r="8" spans="1:12" x14ac:dyDescent="0.25">
      <c r="C8">
        <v>5</v>
      </c>
      <c r="E8" s="3" t="s">
        <v>9</v>
      </c>
      <c r="F8" s="3">
        <f>SUM(F4:F7)</f>
        <v>24.433128524534979</v>
      </c>
      <c r="G8" s="3"/>
      <c r="H8" s="19"/>
      <c r="I8" s="3">
        <f t="shared" ref="I8:I9" si="4">+I7*$D$16</f>
        <v>1.5524784000000007</v>
      </c>
      <c r="J8" s="3">
        <f t="shared" si="2"/>
        <v>1.0090044387102375</v>
      </c>
      <c r="K8" s="1">
        <v>0.08</v>
      </c>
    </row>
    <row r="9" spans="1:12" x14ac:dyDescent="0.25">
      <c r="C9">
        <v>6</v>
      </c>
      <c r="I9" s="3">
        <f t="shared" si="4"/>
        <v>1.6766766720000008</v>
      </c>
      <c r="J9" s="3">
        <f t="shared" si="2"/>
        <v>0.99974751725418021</v>
      </c>
      <c r="K9" s="1">
        <v>0.08</v>
      </c>
    </row>
    <row r="10" spans="1:12" x14ac:dyDescent="0.25">
      <c r="C10">
        <v>7</v>
      </c>
      <c r="I10" s="3">
        <f>+I9*D14</f>
        <v>1.743743738880001</v>
      </c>
      <c r="J10" s="3">
        <f>+(I10/($C$12-C14))/$D$12^$C9</f>
        <v>20.794748358886949</v>
      </c>
      <c r="K10" s="1">
        <v>0.04</v>
      </c>
      <c r="L10" s="3" t="s">
        <v>216</v>
      </c>
    </row>
    <row r="11" spans="1:12" x14ac:dyDescent="0.25">
      <c r="I11" s="3" t="s">
        <v>9</v>
      </c>
      <c r="J11" s="3">
        <f>SUM(J4:J10)</f>
        <v>26.877230702993785</v>
      </c>
    </row>
    <row r="12" spans="1:12" x14ac:dyDescent="0.25">
      <c r="A12" t="s">
        <v>26</v>
      </c>
      <c r="C12" s="1">
        <v>0.09</v>
      </c>
      <c r="D12" s="18">
        <f>1+C12</f>
        <v>1.0900000000000001</v>
      </c>
    </row>
    <row r="13" spans="1:12" x14ac:dyDescent="0.25">
      <c r="A13" t="s">
        <v>27</v>
      </c>
      <c r="C13" s="3">
        <v>1</v>
      </c>
    </row>
    <row r="14" spans="1:12" x14ac:dyDescent="0.25">
      <c r="A14" t="s">
        <v>28</v>
      </c>
      <c r="C14" s="1">
        <v>0.04</v>
      </c>
      <c r="D14" s="18">
        <f>1+C14</f>
        <v>1.04</v>
      </c>
    </row>
    <row r="15" spans="1:12" x14ac:dyDescent="0.25">
      <c r="A15" t="s">
        <v>29</v>
      </c>
      <c r="C15" s="1">
        <v>0.1</v>
      </c>
      <c r="D15" s="18">
        <f>1+C15</f>
        <v>1.1000000000000001</v>
      </c>
    </row>
    <row r="16" spans="1:12" x14ac:dyDescent="0.25">
      <c r="A16" t="s">
        <v>30</v>
      </c>
      <c r="C16" s="1">
        <v>0.08</v>
      </c>
      <c r="D16" s="18">
        <f>1+C16</f>
        <v>1.08</v>
      </c>
    </row>
    <row r="19" spans="1:7" x14ac:dyDescent="0.25">
      <c r="A19" t="s">
        <v>218</v>
      </c>
    </row>
    <row r="21" spans="1:7" x14ac:dyDescent="0.25">
      <c r="A21" t="s">
        <v>26</v>
      </c>
      <c r="C21" s="1">
        <v>0.09</v>
      </c>
      <c r="D21" s="18">
        <f>1+C21</f>
        <v>1.0900000000000001</v>
      </c>
    </row>
    <row r="22" spans="1:7" x14ac:dyDescent="0.25">
      <c r="A22" t="s">
        <v>27</v>
      </c>
      <c r="C22" s="3">
        <v>1</v>
      </c>
    </row>
    <row r="23" spans="1:7" x14ac:dyDescent="0.25">
      <c r="A23" t="s">
        <v>28</v>
      </c>
      <c r="C23" s="1">
        <v>0.04</v>
      </c>
      <c r="D23" s="18">
        <f>1+C23</f>
        <v>1.04</v>
      </c>
    </row>
    <row r="24" spans="1:7" x14ac:dyDescent="0.25">
      <c r="A24" t="s">
        <v>29</v>
      </c>
      <c r="C24" s="1">
        <v>0.08</v>
      </c>
      <c r="D24" s="18">
        <f>1+C24</f>
        <v>1.08</v>
      </c>
    </row>
    <row r="25" spans="1:7" x14ac:dyDescent="0.25">
      <c r="C25" s="1"/>
      <c r="D25" s="18"/>
      <c r="F25" s="19">
        <f>+C22*D24/(C21-C24)</f>
        <v>108.00000000000006</v>
      </c>
      <c r="G25" t="s">
        <v>220</v>
      </c>
    </row>
    <row r="26" spans="1:7" x14ac:dyDescent="0.25">
      <c r="F26" s="19">
        <f>-(C22*D24^4/(C21-C24))/D21^3</f>
        <v>-105.05470997174587</v>
      </c>
      <c r="G26" t="s">
        <v>219</v>
      </c>
    </row>
    <row r="27" spans="1:7" x14ac:dyDescent="0.25">
      <c r="F27" s="19">
        <f>+(C22*D24^3*D23/(C21-C23))/D21^3</f>
        <v>20.232758957521416</v>
      </c>
      <c r="G27" t="s">
        <v>221</v>
      </c>
    </row>
    <row r="29" spans="1:7" x14ac:dyDescent="0.25">
      <c r="F29" s="19">
        <f>+F25+F26+F27</f>
        <v>23.178048985775607</v>
      </c>
    </row>
  </sheetData>
  <mergeCells count="2">
    <mergeCell ref="E2:F2"/>
    <mergeCell ref="I2:J2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7BD5-4539-4483-A588-30F9EB904CDD}">
  <dimension ref="A3:I16"/>
  <sheetViews>
    <sheetView tabSelected="1" workbookViewId="0">
      <selection activeCell="I16" sqref="I16"/>
    </sheetView>
  </sheetViews>
  <sheetFormatPr baseColWidth="10" defaultRowHeight="15" x14ac:dyDescent="0.25"/>
  <sheetData>
    <row r="3" spans="1:9" x14ac:dyDescent="0.25">
      <c r="A3" t="s">
        <v>222</v>
      </c>
    </row>
    <row r="4" spans="1:9" x14ac:dyDescent="0.25">
      <c r="A4" t="s">
        <v>223</v>
      </c>
      <c r="H4" s="2" t="s">
        <v>215</v>
      </c>
      <c r="I4" t="s">
        <v>214</v>
      </c>
    </row>
    <row r="5" spans="1:9" x14ac:dyDescent="0.25">
      <c r="A5" t="s">
        <v>224</v>
      </c>
      <c r="B5">
        <v>0.2</v>
      </c>
      <c r="G5">
        <v>1</v>
      </c>
      <c r="H5" s="3">
        <v>0</v>
      </c>
      <c r="I5" s="3">
        <f>+H5/(1+$C$12)^G5</f>
        <v>0</v>
      </c>
    </row>
    <row r="6" spans="1:9" x14ac:dyDescent="0.25">
      <c r="A6" t="s">
        <v>225</v>
      </c>
      <c r="B6">
        <v>0.3</v>
      </c>
      <c r="G6">
        <v>2</v>
      </c>
      <c r="H6" s="3">
        <v>0</v>
      </c>
      <c r="I6" s="3">
        <f t="shared" ref="I6:I14" si="0">+H6/(1+$C$12)^G6</f>
        <v>0</v>
      </c>
    </row>
    <row r="7" spans="1:9" x14ac:dyDescent="0.25">
      <c r="A7" t="s">
        <v>226</v>
      </c>
      <c r="B7">
        <v>0.4</v>
      </c>
      <c r="G7">
        <v>3</v>
      </c>
      <c r="H7" s="3">
        <v>0</v>
      </c>
      <c r="I7" s="3">
        <f t="shared" si="0"/>
        <v>0</v>
      </c>
    </row>
    <row r="8" spans="1:9" x14ac:dyDescent="0.25">
      <c r="A8" t="s">
        <v>227</v>
      </c>
      <c r="B8">
        <v>0.45</v>
      </c>
      <c r="G8">
        <v>4</v>
      </c>
      <c r="H8" s="3">
        <v>0</v>
      </c>
      <c r="I8" s="3">
        <f t="shared" si="0"/>
        <v>0</v>
      </c>
    </row>
    <row r="9" spans="1:9" x14ac:dyDescent="0.25">
      <c r="A9" t="s">
        <v>228</v>
      </c>
      <c r="B9">
        <v>0.5</v>
      </c>
      <c r="G9">
        <v>5</v>
      </c>
      <c r="H9" s="3">
        <v>0</v>
      </c>
      <c r="I9" s="3">
        <f t="shared" si="0"/>
        <v>0</v>
      </c>
    </row>
    <row r="10" spans="1:9" x14ac:dyDescent="0.25">
      <c r="A10" t="s">
        <v>229</v>
      </c>
      <c r="B10" t="s">
        <v>231</v>
      </c>
      <c r="D10" s="1">
        <v>0.1</v>
      </c>
      <c r="G10">
        <v>6</v>
      </c>
      <c r="H10" s="3">
        <f>+B5</f>
        <v>0.2</v>
      </c>
      <c r="I10" s="3">
        <f t="shared" si="0"/>
        <v>8.6465519182311296E-2</v>
      </c>
    </row>
    <row r="11" spans="1:9" x14ac:dyDescent="0.25">
      <c r="G11">
        <v>7</v>
      </c>
      <c r="H11" s="3">
        <f t="shared" ref="H11:H14" si="1">+B6</f>
        <v>0.3</v>
      </c>
      <c r="I11" s="3">
        <f t="shared" si="0"/>
        <v>0.11278111197692779</v>
      </c>
    </row>
    <row r="12" spans="1:9" x14ac:dyDescent="0.25">
      <c r="A12" t="s">
        <v>230</v>
      </c>
      <c r="C12" s="1">
        <v>0.15</v>
      </c>
      <c r="G12">
        <v>8</v>
      </c>
      <c r="H12" s="3">
        <f t="shared" si="1"/>
        <v>0.4</v>
      </c>
      <c r="I12" s="3">
        <f t="shared" si="0"/>
        <v>0.13076070953846702</v>
      </c>
    </row>
    <row r="13" spans="1:9" x14ac:dyDescent="0.25">
      <c r="G13">
        <v>9</v>
      </c>
      <c r="H13" s="3">
        <f t="shared" si="1"/>
        <v>0.45</v>
      </c>
      <c r="I13" s="3">
        <f t="shared" si="0"/>
        <v>0.12791808541806557</v>
      </c>
    </row>
    <row r="14" spans="1:9" x14ac:dyDescent="0.25">
      <c r="G14">
        <v>10</v>
      </c>
      <c r="H14" s="3">
        <f t="shared" si="1"/>
        <v>0.5</v>
      </c>
      <c r="I14" s="3">
        <f t="shared" si="0"/>
        <v>0.12359235306093293</v>
      </c>
    </row>
    <row r="15" spans="1:9" x14ac:dyDescent="0.25">
      <c r="G15">
        <v>11</v>
      </c>
      <c r="H15" s="3">
        <f>+H14*(1+D10)</f>
        <v>0.55000000000000004</v>
      </c>
      <c r="I15" s="3">
        <f>+(H15/(C12-D10))/(1+C12)^10</f>
        <v>2.7190317673405255</v>
      </c>
    </row>
    <row r="16" spans="1:9" x14ac:dyDescent="0.25">
      <c r="I16" s="4">
        <f>SUM(I5:I15)</f>
        <v>3.3005495465172303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5319-4F58-4CC9-B761-6230AE0E165C}">
  <dimension ref="A1:L56"/>
  <sheetViews>
    <sheetView workbookViewId="0">
      <selection activeCell="G56" sqref="G56"/>
    </sheetView>
  </sheetViews>
  <sheetFormatPr baseColWidth="10" defaultRowHeight="15" x14ac:dyDescent="0.25"/>
  <sheetData>
    <row r="1" spans="1:11" x14ac:dyDescent="0.25">
      <c r="A1" t="s">
        <v>232</v>
      </c>
    </row>
    <row r="2" spans="1:11" x14ac:dyDescent="0.25">
      <c r="G2">
        <v>2019</v>
      </c>
      <c r="H2">
        <v>2020</v>
      </c>
      <c r="I2">
        <v>2021</v>
      </c>
      <c r="J2">
        <v>2022</v>
      </c>
      <c r="K2">
        <v>2023</v>
      </c>
    </row>
    <row r="3" spans="1:11" x14ac:dyDescent="0.25">
      <c r="B3" t="s">
        <v>31</v>
      </c>
      <c r="G3" s="1">
        <v>0.1</v>
      </c>
      <c r="H3" s="1">
        <v>0.09</v>
      </c>
      <c r="I3" s="1">
        <v>0.09</v>
      </c>
      <c r="J3" s="1">
        <v>0.09</v>
      </c>
      <c r="K3" s="1">
        <v>0.08</v>
      </c>
    </row>
    <row r="4" spans="1:11" x14ac:dyDescent="0.25">
      <c r="B4" t="s">
        <v>32</v>
      </c>
      <c r="G4" s="1">
        <v>0.87</v>
      </c>
      <c r="H4" s="1">
        <v>0.87</v>
      </c>
      <c r="I4" s="1">
        <v>0.86</v>
      </c>
      <c r="J4" s="1">
        <v>0.85</v>
      </c>
      <c r="K4" s="1">
        <v>0.85</v>
      </c>
    </row>
    <row r="5" spans="1:11" x14ac:dyDescent="0.25">
      <c r="B5" t="s">
        <v>33</v>
      </c>
      <c r="G5" s="1">
        <v>0.08</v>
      </c>
      <c r="H5" s="1">
        <v>0.08</v>
      </c>
      <c r="I5" s="1">
        <v>0.08</v>
      </c>
      <c r="J5" s="1">
        <v>0.08</v>
      </c>
      <c r="K5" s="1">
        <v>0.08</v>
      </c>
    </row>
    <row r="6" spans="1:11" x14ac:dyDescent="0.25">
      <c r="B6" t="s">
        <v>34</v>
      </c>
      <c r="G6" s="1">
        <v>0.08</v>
      </c>
      <c r="H6" s="1">
        <v>0.08</v>
      </c>
      <c r="I6" s="1">
        <v>0.08</v>
      </c>
      <c r="J6" s="1">
        <v>0.08</v>
      </c>
      <c r="K6" s="1">
        <v>0.08</v>
      </c>
    </row>
    <row r="7" spans="1:11" x14ac:dyDescent="0.25">
      <c r="B7" t="s">
        <v>35</v>
      </c>
      <c r="G7" s="1">
        <v>0.06</v>
      </c>
      <c r="H7" s="1">
        <v>0.08</v>
      </c>
      <c r="I7" s="1">
        <v>7.0000000000000007E-2</v>
      </c>
      <c r="J7" s="1">
        <v>7.0000000000000007E-2</v>
      </c>
      <c r="K7" s="1">
        <v>7.0000000000000007E-2</v>
      </c>
    </row>
    <row r="8" spans="1:11" x14ac:dyDescent="0.25">
      <c r="B8" t="s">
        <v>38</v>
      </c>
      <c r="F8" s="1">
        <v>0.4</v>
      </c>
    </row>
    <row r="9" spans="1:11" x14ac:dyDescent="0.25">
      <c r="B9" t="s">
        <v>36</v>
      </c>
      <c r="F9" s="1">
        <v>0.1</v>
      </c>
    </row>
    <row r="10" spans="1:11" x14ac:dyDescent="0.25">
      <c r="B10" t="s">
        <v>37</v>
      </c>
      <c r="F10" s="1">
        <v>0.06</v>
      </c>
    </row>
    <row r="11" spans="1:11" x14ac:dyDescent="0.25">
      <c r="B11" t="s">
        <v>57</v>
      </c>
      <c r="F11" s="37">
        <v>50</v>
      </c>
    </row>
    <row r="13" spans="1:11" x14ac:dyDescent="0.25">
      <c r="B13" t="s">
        <v>39</v>
      </c>
    </row>
    <row r="15" spans="1:11" x14ac:dyDescent="0.25">
      <c r="F15" t="s">
        <v>54</v>
      </c>
      <c r="G15" s="45" t="s">
        <v>55</v>
      </c>
      <c r="H15" s="45"/>
      <c r="I15" s="45"/>
      <c r="J15" s="45"/>
      <c r="K15" s="45"/>
    </row>
    <row r="16" spans="1:11" x14ac:dyDescent="0.25">
      <c r="E16">
        <v>2017</v>
      </c>
      <c r="F16">
        <v>2018</v>
      </c>
      <c r="G16">
        <v>2019</v>
      </c>
      <c r="H16">
        <v>2020</v>
      </c>
      <c r="I16">
        <v>2021</v>
      </c>
      <c r="J16">
        <v>2022</v>
      </c>
      <c r="K16">
        <v>2023</v>
      </c>
    </row>
    <row r="17" spans="2:12" x14ac:dyDescent="0.25">
      <c r="B17" t="s">
        <v>40</v>
      </c>
      <c r="F17" s="21">
        <v>3000</v>
      </c>
      <c r="G17" s="21">
        <f>+F17*(1+G3)</f>
        <v>3300.0000000000005</v>
      </c>
      <c r="H17" s="21">
        <f t="shared" ref="H17:K17" si="0">+G17*(1+H3)</f>
        <v>3597.0000000000009</v>
      </c>
      <c r="I17" s="21">
        <f t="shared" si="0"/>
        <v>3920.7300000000014</v>
      </c>
      <c r="J17" s="21">
        <f t="shared" si="0"/>
        <v>4273.5957000000017</v>
      </c>
      <c r="K17" s="21">
        <f t="shared" si="0"/>
        <v>4615.4833560000025</v>
      </c>
      <c r="L17" s="21"/>
    </row>
    <row r="18" spans="2:12" x14ac:dyDescent="0.25">
      <c r="B18" t="s">
        <v>41</v>
      </c>
      <c r="F18" s="21">
        <v>2616.1999999999998</v>
      </c>
      <c r="G18" s="21">
        <f>+G17*G4</f>
        <v>2871.0000000000005</v>
      </c>
      <c r="H18" s="21">
        <f t="shared" ref="H18:K18" si="1">+H17*H4</f>
        <v>3129.3900000000008</v>
      </c>
      <c r="I18" s="21">
        <f t="shared" si="1"/>
        <v>3371.8278000000009</v>
      </c>
      <c r="J18" s="21">
        <f t="shared" si="1"/>
        <v>3632.5563450000013</v>
      </c>
      <c r="K18" s="21">
        <f t="shared" si="1"/>
        <v>3923.1608526000018</v>
      </c>
      <c r="L18" s="21"/>
    </row>
    <row r="19" spans="2:12" x14ac:dyDescent="0.25">
      <c r="B19" t="s">
        <v>45</v>
      </c>
      <c r="F19" s="21">
        <v>100</v>
      </c>
      <c r="G19" s="21">
        <f>+G7*G26</f>
        <v>116.64</v>
      </c>
      <c r="H19" s="21">
        <f t="shared" ref="H19:K19" si="2">+H7*H26</f>
        <v>167.96160000000003</v>
      </c>
      <c r="I19" s="21">
        <f t="shared" si="2"/>
        <v>158.72371200000006</v>
      </c>
      <c r="J19" s="21">
        <f t="shared" si="2"/>
        <v>171.42160896000007</v>
      </c>
      <c r="K19" s="21">
        <f t="shared" si="2"/>
        <v>185.13533767680008</v>
      </c>
      <c r="L19" s="21"/>
    </row>
    <row r="20" spans="2:12" x14ac:dyDescent="0.25">
      <c r="B20" t="s">
        <v>42</v>
      </c>
      <c r="F20" s="21">
        <f>+F17-F18-F19</f>
        <v>283.80000000000018</v>
      </c>
      <c r="G20" s="21">
        <f t="shared" ref="G20:K20" si="3">+G17-G18-G19</f>
        <v>312.36</v>
      </c>
      <c r="H20" s="21">
        <f t="shared" si="3"/>
        <v>299.64840000000009</v>
      </c>
      <c r="I20" s="21">
        <f t="shared" si="3"/>
        <v>390.17848800000036</v>
      </c>
      <c r="J20" s="21">
        <f t="shared" si="3"/>
        <v>469.61774604000027</v>
      </c>
      <c r="K20" s="21">
        <f t="shared" si="3"/>
        <v>507.18716572320056</v>
      </c>
      <c r="L20" s="21"/>
    </row>
    <row r="21" spans="2:12" x14ac:dyDescent="0.25">
      <c r="B21" t="s">
        <v>43</v>
      </c>
      <c r="F21" s="21">
        <f>+F20*(1-$F$8)</f>
        <v>170.28000000000011</v>
      </c>
      <c r="G21" s="21">
        <f t="shared" ref="G21:K21" si="4">+G20*(1-$F$8)</f>
        <v>187.416</v>
      </c>
      <c r="H21" s="21">
        <f t="shared" si="4"/>
        <v>179.78904000000006</v>
      </c>
      <c r="I21" s="21">
        <f t="shared" si="4"/>
        <v>234.1070928000002</v>
      </c>
      <c r="J21" s="21">
        <f t="shared" si="4"/>
        <v>281.77064762400016</v>
      </c>
      <c r="K21" s="21">
        <f t="shared" si="4"/>
        <v>304.31229943392032</v>
      </c>
      <c r="L21" s="21"/>
    </row>
    <row r="22" spans="2:12" x14ac:dyDescent="0.25">
      <c r="B22" s="38" t="s">
        <v>44</v>
      </c>
      <c r="C22" s="38"/>
      <c r="D22" s="38"/>
      <c r="E22" s="38"/>
      <c r="F22" s="39">
        <f>+F21+F19</f>
        <v>270.28000000000009</v>
      </c>
      <c r="G22" s="39">
        <f t="shared" ref="G22:K22" si="5">+G21+G19</f>
        <v>304.05599999999998</v>
      </c>
      <c r="H22" s="39">
        <f t="shared" si="5"/>
        <v>347.75064000000009</v>
      </c>
      <c r="I22" s="39">
        <f t="shared" si="5"/>
        <v>392.83080480000024</v>
      </c>
      <c r="J22" s="39">
        <f t="shared" si="5"/>
        <v>453.19225658400023</v>
      </c>
      <c r="K22" s="39">
        <f t="shared" si="5"/>
        <v>489.44763711072039</v>
      </c>
      <c r="L22" s="21"/>
    </row>
    <row r="23" spans="2:12" x14ac:dyDescent="0.25">
      <c r="F23" s="21"/>
      <c r="G23" s="21"/>
      <c r="H23" s="21"/>
      <c r="I23" s="21"/>
      <c r="J23" s="21"/>
      <c r="K23" s="21"/>
      <c r="L23" s="21"/>
    </row>
    <row r="24" spans="2:12" x14ac:dyDescent="0.25">
      <c r="B24" t="s">
        <v>46</v>
      </c>
      <c r="E24" s="21">
        <v>870</v>
      </c>
      <c r="F24" s="21">
        <v>1000</v>
      </c>
      <c r="G24" s="21">
        <f>+F24*(1+G5)</f>
        <v>1080</v>
      </c>
      <c r="H24" s="21">
        <f t="shared" ref="H24:K24" si="6">+G24*(1+H5)</f>
        <v>1166.4000000000001</v>
      </c>
      <c r="I24" s="21">
        <f t="shared" si="6"/>
        <v>1259.7120000000002</v>
      </c>
      <c r="J24" s="21">
        <f t="shared" si="6"/>
        <v>1360.4889600000004</v>
      </c>
      <c r="K24" s="21">
        <f t="shared" si="6"/>
        <v>1469.3280768000004</v>
      </c>
      <c r="L24" s="21"/>
    </row>
    <row r="25" spans="2:12" x14ac:dyDescent="0.25">
      <c r="B25" t="s">
        <v>47</v>
      </c>
      <c r="E25" s="21">
        <v>650</v>
      </c>
      <c r="F25" s="21">
        <v>800</v>
      </c>
      <c r="G25" s="21">
        <f>+F25*(1+G6)</f>
        <v>864</v>
      </c>
      <c r="H25" s="21">
        <f t="shared" ref="H25:K25" si="7">+G25*(1+H6)</f>
        <v>933.12000000000012</v>
      </c>
      <c r="I25" s="21">
        <f t="shared" si="7"/>
        <v>1007.7696000000002</v>
      </c>
      <c r="J25" s="21">
        <f t="shared" si="7"/>
        <v>1088.3911680000003</v>
      </c>
      <c r="K25" s="21">
        <f t="shared" si="7"/>
        <v>1175.4624614400004</v>
      </c>
      <c r="L25" s="21"/>
    </row>
    <row r="26" spans="2:12" x14ac:dyDescent="0.25">
      <c r="B26" t="s">
        <v>48</v>
      </c>
      <c r="F26" s="21">
        <f>+F24+F25</f>
        <v>1800</v>
      </c>
      <c r="G26" s="21">
        <f t="shared" ref="G26:K26" si="8">+G24+G25</f>
        <v>1944</v>
      </c>
      <c r="H26" s="21">
        <f t="shared" si="8"/>
        <v>2099.5200000000004</v>
      </c>
      <c r="I26" s="21">
        <f t="shared" si="8"/>
        <v>2267.4816000000005</v>
      </c>
      <c r="J26" s="21">
        <f t="shared" si="8"/>
        <v>2448.8801280000007</v>
      </c>
      <c r="K26" s="21">
        <f t="shared" si="8"/>
        <v>2644.7905382400008</v>
      </c>
      <c r="L26" s="21"/>
    </row>
    <row r="27" spans="2:12" x14ac:dyDescent="0.25">
      <c r="B27" t="s">
        <v>49</v>
      </c>
      <c r="F27" s="21">
        <f>+F24-E24</f>
        <v>130</v>
      </c>
      <c r="G27" s="21">
        <f>+G24-F24</f>
        <v>80</v>
      </c>
      <c r="H27" s="21">
        <f t="shared" ref="H27:K27" si="9">+H24-G24</f>
        <v>86.400000000000091</v>
      </c>
      <c r="I27" s="21">
        <f t="shared" si="9"/>
        <v>93.312000000000126</v>
      </c>
      <c r="J27" s="21">
        <f t="shared" si="9"/>
        <v>100.77696000000014</v>
      </c>
      <c r="K27" s="21">
        <f t="shared" si="9"/>
        <v>108.83911680000006</v>
      </c>
      <c r="L27" s="21"/>
    </row>
    <row r="28" spans="2:12" x14ac:dyDescent="0.25">
      <c r="B28" t="s">
        <v>50</v>
      </c>
      <c r="F28" s="21"/>
      <c r="G28" s="21"/>
      <c r="H28" s="21"/>
      <c r="I28" s="21"/>
      <c r="J28" s="21"/>
      <c r="K28" s="21"/>
      <c r="L28" s="21"/>
    </row>
    <row r="29" spans="2:12" x14ac:dyDescent="0.25">
      <c r="B29" s="38" t="s">
        <v>51</v>
      </c>
      <c r="C29" s="38"/>
      <c r="D29" s="38"/>
      <c r="E29" s="38"/>
      <c r="F29" s="39">
        <f>+F27+F19</f>
        <v>230</v>
      </c>
      <c r="G29" s="39">
        <f>+G27+G19</f>
        <v>196.64</v>
      </c>
      <c r="H29" s="39">
        <f t="shared" ref="H29:K29" si="10">+H27+H19</f>
        <v>254.36160000000012</v>
      </c>
      <c r="I29" s="39">
        <f t="shared" si="10"/>
        <v>252.03571200000019</v>
      </c>
      <c r="J29" s="39">
        <f t="shared" si="10"/>
        <v>272.19856896000022</v>
      </c>
      <c r="K29" s="39">
        <f t="shared" si="10"/>
        <v>293.97445447680013</v>
      </c>
      <c r="L29" s="21"/>
    </row>
    <row r="30" spans="2:12" x14ac:dyDescent="0.25">
      <c r="B30" s="38" t="s">
        <v>52</v>
      </c>
      <c r="C30" s="38"/>
      <c r="D30" s="38"/>
      <c r="E30" s="38"/>
      <c r="F30" s="39">
        <v>150</v>
      </c>
      <c r="G30" s="39">
        <f>+G25-F25</f>
        <v>64</v>
      </c>
      <c r="H30" s="39">
        <f t="shared" ref="H30:K30" si="11">+H25-G25</f>
        <v>69.120000000000118</v>
      </c>
      <c r="I30" s="39">
        <f t="shared" si="11"/>
        <v>74.649600000000078</v>
      </c>
      <c r="J30" s="39">
        <f t="shared" si="11"/>
        <v>80.621568000000138</v>
      </c>
      <c r="K30" s="39">
        <f t="shared" si="11"/>
        <v>87.07129344000009</v>
      </c>
      <c r="L30" s="21"/>
    </row>
    <row r="31" spans="2:12" x14ac:dyDescent="0.25">
      <c r="L31" s="21"/>
    </row>
    <row r="32" spans="2:12" x14ac:dyDescent="0.25">
      <c r="F32">
        <v>2018</v>
      </c>
      <c r="G32">
        <v>2019</v>
      </c>
      <c r="H32">
        <v>2020</v>
      </c>
      <c r="I32">
        <v>2021</v>
      </c>
      <c r="J32">
        <v>2022</v>
      </c>
      <c r="K32">
        <v>2023</v>
      </c>
      <c r="L32" s="21"/>
    </row>
    <row r="33" spans="2:12" x14ac:dyDescent="0.25">
      <c r="B33" s="38" t="s">
        <v>56</v>
      </c>
      <c r="C33" s="38"/>
      <c r="D33" s="38"/>
      <c r="E33" s="38"/>
      <c r="F33" s="39">
        <f>+F21+F19-F29-F30</f>
        <v>-109.71999999999991</v>
      </c>
      <c r="G33" s="39">
        <f t="shared" ref="G33:K33" si="12">+G21+G19-G29-G30</f>
        <v>43.415999999999997</v>
      </c>
      <c r="H33" s="39">
        <f t="shared" si="12"/>
        <v>24.269039999999848</v>
      </c>
      <c r="I33" s="39">
        <f t="shared" si="12"/>
        <v>66.145492799999971</v>
      </c>
      <c r="J33" s="39">
        <f t="shared" si="12"/>
        <v>100.37211962399988</v>
      </c>
      <c r="K33" s="39">
        <f t="shared" si="12"/>
        <v>108.40188919392017</v>
      </c>
      <c r="L33" s="21"/>
    </row>
    <row r="34" spans="2:12" x14ac:dyDescent="0.25">
      <c r="B34" s="20" t="s">
        <v>53</v>
      </c>
      <c r="F34" s="21"/>
      <c r="G34" s="21">
        <f>+G33/(1+$F$9)^(G32-$F$32)</f>
        <v>39.469090909090902</v>
      </c>
      <c r="H34" s="21">
        <f>+H33/(1+$F$9)^(H32-$F$32)</f>
        <v>20.057057851239541</v>
      </c>
      <c r="I34" s="21">
        <f>+I33/(1+$F$9)^(I32-$F$32)</f>
        <v>49.696087753568712</v>
      </c>
      <c r="J34" s="21">
        <f>+J33/(1+$F$9)^(J32-$F$32)</f>
        <v>68.555508246704363</v>
      </c>
      <c r="K34" s="21">
        <f>+K33/(1+$F$9)^(K32-$F$32)</f>
        <v>67.309044460400827</v>
      </c>
      <c r="L34" s="21"/>
    </row>
    <row r="35" spans="2:12" x14ac:dyDescent="0.25">
      <c r="F35" s="21"/>
      <c r="G35" s="21"/>
      <c r="H35" s="21"/>
      <c r="I35" s="21"/>
      <c r="J35" s="21"/>
      <c r="K35" s="21"/>
      <c r="L35" s="21"/>
    </row>
    <row r="36" spans="2:12" x14ac:dyDescent="0.25">
      <c r="B36" t="s">
        <v>59</v>
      </c>
    </row>
    <row r="38" spans="2:12" x14ac:dyDescent="0.25">
      <c r="B38" t="s">
        <v>60</v>
      </c>
      <c r="F38" s="21">
        <f>+K33*(1+F10)</f>
        <v>114.90600254555538</v>
      </c>
      <c r="H38" s="23"/>
    </row>
    <row r="39" spans="2:12" x14ac:dyDescent="0.25">
      <c r="B39" t="s">
        <v>61</v>
      </c>
      <c r="F39" s="21">
        <f>+F38/(F9-F10)</f>
        <v>2872.6500636388841</v>
      </c>
    </row>
    <row r="40" spans="2:12" x14ac:dyDescent="0.25">
      <c r="B40" t="s">
        <v>62</v>
      </c>
      <c r="F40" s="21">
        <f>+F39/(1+F9)^(K32-F32)</f>
        <v>1783.6896782006218</v>
      </c>
    </row>
    <row r="43" spans="2:12" x14ac:dyDescent="0.25">
      <c r="B43" t="s">
        <v>63</v>
      </c>
    </row>
    <row r="45" spans="2:12" x14ac:dyDescent="0.25">
      <c r="B45" t="s">
        <v>64</v>
      </c>
      <c r="F45" s="24">
        <f>+SUM(G34:K34)</f>
        <v>245.08678922100435</v>
      </c>
    </row>
    <row r="46" spans="2:12" x14ac:dyDescent="0.25">
      <c r="B46" t="s">
        <v>62</v>
      </c>
      <c r="F46" s="24">
        <f>+F40</f>
        <v>1783.6896782006218</v>
      </c>
    </row>
    <row r="47" spans="2:12" x14ac:dyDescent="0.25">
      <c r="B47" t="s">
        <v>65</v>
      </c>
      <c r="F47" s="25">
        <v>0</v>
      </c>
    </row>
    <row r="49" spans="2:7" x14ac:dyDescent="0.25">
      <c r="B49" t="s">
        <v>233</v>
      </c>
      <c r="F49" s="24">
        <f>SUM(F45:F47)</f>
        <v>2028.7764674216262</v>
      </c>
    </row>
    <row r="50" spans="2:7" x14ac:dyDescent="0.25">
      <c r="B50" t="s">
        <v>234</v>
      </c>
      <c r="F50" s="25">
        <v>860</v>
      </c>
      <c r="G50" t="s">
        <v>66</v>
      </c>
    </row>
    <row r="51" spans="2:7" x14ac:dyDescent="0.25">
      <c r="B51" t="s">
        <v>67</v>
      </c>
      <c r="F51" s="22">
        <f>+F49-F50</f>
        <v>1168.7764674216262</v>
      </c>
    </row>
    <row r="53" spans="2:7" x14ac:dyDescent="0.25">
      <c r="B53" t="s">
        <v>69</v>
      </c>
      <c r="F53">
        <v>50</v>
      </c>
    </row>
    <row r="54" spans="2:7" x14ac:dyDescent="0.25">
      <c r="B54" t="s">
        <v>70</v>
      </c>
      <c r="F54" s="4">
        <f>+F51/F53</f>
        <v>23.375529348432522</v>
      </c>
    </row>
    <row r="56" spans="2:7" x14ac:dyDescent="0.25">
      <c r="B56" t="s">
        <v>264</v>
      </c>
      <c r="F56" s="4">
        <v>23.06</v>
      </c>
      <c r="G56" t="s">
        <v>66</v>
      </c>
    </row>
  </sheetData>
  <mergeCells count="1">
    <mergeCell ref="G15:K15"/>
  </mergeCells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9DC1-2F76-417D-8793-1B156AD17AD8}">
  <dimension ref="B2:J36"/>
  <sheetViews>
    <sheetView workbookViewId="0"/>
  </sheetViews>
  <sheetFormatPr baseColWidth="10" defaultRowHeight="15" x14ac:dyDescent="0.25"/>
  <cols>
    <col min="4" max="4" width="24.7109375" customWidth="1"/>
    <col min="5" max="5" width="14.140625" bestFit="1" customWidth="1"/>
    <col min="9" max="9" width="16.5703125" customWidth="1"/>
    <col min="10" max="10" width="17" customWidth="1"/>
  </cols>
  <sheetData>
    <row r="2" spans="2:10" x14ac:dyDescent="0.25">
      <c r="F2">
        <v>2018</v>
      </c>
      <c r="G2">
        <v>2017</v>
      </c>
    </row>
    <row r="3" spans="2:10" x14ac:dyDescent="0.25">
      <c r="B3" t="s">
        <v>235</v>
      </c>
    </row>
    <row r="4" spans="2:10" ht="15.75" thickBot="1" x14ac:dyDescent="0.3">
      <c r="C4" t="s">
        <v>236</v>
      </c>
    </row>
    <row r="5" spans="2:10" ht="15.75" thickBot="1" x14ac:dyDescent="0.3">
      <c r="D5" t="s">
        <v>237</v>
      </c>
      <c r="F5" s="37">
        <v>10</v>
      </c>
      <c r="G5" s="37">
        <v>80</v>
      </c>
      <c r="I5" s="46" t="s">
        <v>252</v>
      </c>
      <c r="J5" s="47"/>
    </row>
    <row r="6" spans="2:10" x14ac:dyDescent="0.25">
      <c r="D6" t="s">
        <v>238</v>
      </c>
      <c r="F6" s="37">
        <v>375</v>
      </c>
      <c r="G6" s="37">
        <v>315</v>
      </c>
      <c r="I6" s="48" t="s">
        <v>254</v>
      </c>
      <c r="J6" s="48"/>
    </row>
    <row r="7" spans="2:10" x14ac:dyDescent="0.25">
      <c r="D7" t="s">
        <v>239</v>
      </c>
      <c r="F7" s="37">
        <v>615</v>
      </c>
      <c r="G7" s="37">
        <v>415</v>
      </c>
      <c r="I7" s="42">
        <f>+F9-F8-(F23-F22)</f>
        <v>800</v>
      </c>
      <c r="J7" s="42">
        <f>+G9-G8-(G23-G22)</f>
        <v>650</v>
      </c>
    </row>
    <row r="8" spans="2:10" x14ac:dyDescent="0.25">
      <c r="D8" t="s">
        <v>240</v>
      </c>
      <c r="F8" s="37">
        <v>0</v>
      </c>
      <c r="G8" s="37">
        <v>0</v>
      </c>
    </row>
    <row r="9" spans="2:10" ht="15.75" thickBot="1" x14ac:dyDescent="0.3">
      <c r="D9" t="s">
        <v>241</v>
      </c>
      <c r="F9" s="40">
        <f t="shared" ref="F9:G9" si="0">SUM(F5:F8)</f>
        <v>1000</v>
      </c>
      <c r="G9" s="40">
        <f t="shared" si="0"/>
        <v>810</v>
      </c>
    </row>
    <row r="10" spans="2:10" ht="15.75" thickTop="1" x14ac:dyDescent="0.25">
      <c r="F10" s="41"/>
      <c r="G10" s="41"/>
    </row>
    <row r="11" spans="2:10" x14ac:dyDescent="0.25">
      <c r="C11" t="s">
        <v>46</v>
      </c>
      <c r="F11" s="37"/>
      <c r="G11" s="37"/>
    </row>
    <row r="12" spans="2:10" x14ac:dyDescent="0.25">
      <c r="D12" t="s">
        <v>242</v>
      </c>
      <c r="F12" s="37">
        <v>1000</v>
      </c>
      <c r="G12" s="37">
        <v>870</v>
      </c>
    </row>
    <row r="13" spans="2:10" x14ac:dyDescent="0.25">
      <c r="D13" t="s">
        <v>243</v>
      </c>
      <c r="F13" s="37">
        <v>0</v>
      </c>
      <c r="G13" s="37">
        <v>0</v>
      </c>
    </row>
    <row r="14" spans="2:10" ht="15.75" thickBot="1" x14ac:dyDescent="0.3">
      <c r="D14" t="s">
        <v>244</v>
      </c>
      <c r="F14" s="40">
        <f t="shared" ref="F14:G14" si="1">SUM(F12:F13)</f>
        <v>1000</v>
      </c>
      <c r="G14" s="40">
        <f t="shared" si="1"/>
        <v>870</v>
      </c>
      <c r="I14" s="42"/>
    </row>
    <row r="15" spans="2:10" ht="15.75" thickTop="1" x14ac:dyDescent="0.25">
      <c r="F15" s="37"/>
      <c r="G15" s="37"/>
    </row>
    <row r="16" spans="2:10" ht="15.75" thickBot="1" x14ac:dyDescent="0.3">
      <c r="C16" t="s">
        <v>245</v>
      </c>
      <c r="F16" s="40">
        <f>+F14+F9</f>
        <v>2000</v>
      </c>
      <c r="G16" s="40">
        <f>+G14+G9</f>
        <v>1680</v>
      </c>
    </row>
    <row r="17" spans="2:7" ht="15.75" thickTop="1" x14ac:dyDescent="0.25">
      <c r="F17" s="37"/>
      <c r="G17" s="37"/>
    </row>
    <row r="18" spans="2:7" x14ac:dyDescent="0.25">
      <c r="B18" t="s">
        <v>246</v>
      </c>
      <c r="F18" s="37"/>
      <c r="G18" s="37"/>
    </row>
    <row r="19" spans="2:7" x14ac:dyDescent="0.25">
      <c r="C19" t="s">
        <v>247</v>
      </c>
      <c r="F19" s="37"/>
      <c r="G19" s="37"/>
    </row>
    <row r="20" spans="2:7" x14ac:dyDescent="0.25">
      <c r="D20" t="s">
        <v>248</v>
      </c>
      <c r="F20" s="37">
        <v>60</v>
      </c>
      <c r="G20" s="37">
        <v>30</v>
      </c>
    </row>
    <row r="21" spans="2:7" x14ac:dyDescent="0.25">
      <c r="D21" t="s">
        <v>249</v>
      </c>
      <c r="F21" s="37">
        <v>140</v>
      </c>
      <c r="G21" s="37">
        <v>130</v>
      </c>
    </row>
    <row r="22" spans="2:7" x14ac:dyDescent="0.25">
      <c r="D22" t="s">
        <v>250</v>
      </c>
      <c r="F22" s="44">
        <v>110</v>
      </c>
      <c r="G22" s="37">
        <v>60</v>
      </c>
    </row>
    <row r="23" spans="2:7" ht="15.75" thickBot="1" x14ac:dyDescent="0.3">
      <c r="D23" t="s">
        <v>251</v>
      </c>
      <c r="F23" s="40">
        <f t="shared" ref="F23:G23" si="2">SUM(F20:F22)</f>
        <v>310</v>
      </c>
      <c r="G23" s="40">
        <f t="shared" si="2"/>
        <v>220</v>
      </c>
    </row>
    <row r="24" spans="2:7" ht="15.75" thickTop="1" x14ac:dyDescent="0.25">
      <c r="F24" s="37"/>
      <c r="G24" s="37"/>
    </row>
    <row r="25" spans="2:7" x14ac:dyDescent="0.25">
      <c r="C25" t="s">
        <v>253</v>
      </c>
      <c r="F25" s="37"/>
      <c r="G25" s="37"/>
    </row>
    <row r="26" spans="2:7" x14ac:dyDescent="0.25">
      <c r="D26" t="s">
        <v>255</v>
      </c>
      <c r="F26" s="44">
        <v>750</v>
      </c>
      <c r="G26" s="37">
        <v>580</v>
      </c>
    </row>
    <row r="27" spans="2:7" x14ac:dyDescent="0.25">
      <c r="F27" s="37"/>
      <c r="G27" s="37"/>
    </row>
    <row r="28" spans="2:7" ht="15.75" thickBot="1" x14ac:dyDescent="0.3">
      <c r="C28" t="s">
        <v>256</v>
      </c>
      <c r="F28" s="40">
        <f>+F23+F26</f>
        <v>1060</v>
      </c>
      <c r="G28" s="40">
        <f>+G23+G26</f>
        <v>800</v>
      </c>
    </row>
    <row r="29" spans="2:7" ht="15.75" thickTop="1" x14ac:dyDescent="0.25">
      <c r="F29" s="37"/>
      <c r="G29" s="37"/>
    </row>
    <row r="30" spans="2:7" x14ac:dyDescent="0.25">
      <c r="C30" t="s">
        <v>257</v>
      </c>
      <c r="E30" s="2" t="s">
        <v>258</v>
      </c>
      <c r="F30" s="37"/>
      <c r="G30" s="37"/>
    </row>
    <row r="31" spans="2:7" x14ac:dyDescent="0.25">
      <c r="D31" t="s">
        <v>259</v>
      </c>
      <c r="E31" s="43">
        <v>50</v>
      </c>
      <c r="F31" s="37">
        <v>130</v>
      </c>
      <c r="G31" s="37">
        <v>130</v>
      </c>
    </row>
    <row r="32" spans="2:7" ht="15.75" thickBot="1" x14ac:dyDescent="0.3">
      <c r="D32" t="s">
        <v>260</v>
      </c>
      <c r="F32" s="37">
        <v>810</v>
      </c>
      <c r="G32" s="37">
        <v>750</v>
      </c>
    </row>
    <row r="33" spans="3:10" ht="15.75" thickBot="1" x14ac:dyDescent="0.3">
      <c r="D33" t="s">
        <v>261</v>
      </c>
      <c r="F33" s="40">
        <f t="shared" ref="F33:G33" si="3">SUM(F31:F32)</f>
        <v>940</v>
      </c>
      <c r="G33" s="40">
        <f t="shared" si="3"/>
        <v>880</v>
      </c>
      <c r="I33" s="46" t="s">
        <v>262</v>
      </c>
      <c r="J33" s="47"/>
    </row>
    <row r="34" spans="3:10" ht="15.75" thickTop="1" x14ac:dyDescent="0.25">
      <c r="F34" s="37"/>
      <c r="G34" s="37"/>
      <c r="I34" s="3">
        <f>+F33/$E$31</f>
        <v>18.8</v>
      </c>
      <c r="J34" s="3">
        <f>+G33/$E$31</f>
        <v>17.600000000000001</v>
      </c>
    </row>
    <row r="35" spans="3:10" ht="15.75" thickBot="1" x14ac:dyDescent="0.3">
      <c r="C35" t="s">
        <v>263</v>
      </c>
      <c r="F35" s="40">
        <f>+F33+F28</f>
        <v>2000</v>
      </c>
      <c r="G35" s="40">
        <f>+G33+G28</f>
        <v>1680</v>
      </c>
    </row>
    <row r="36" spans="3:10" ht="15.75" thickTop="1" x14ac:dyDescent="0.25"/>
  </sheetData>
  <mergeCells count="3">
    <mergeCell ref="I33:J33"/>
    <mergeCell ref="I5:J5"/>
    <mergeCell ref="I6:J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21AB-B397-4E4D-ACEE-8C195E0BBE82}">
  <dimension ref="C2:I14"/>
  <sheetViews>
    <sheetView workbookViewId="0"/>
  </sheetViews>
  <sheetFormatPr baseColWidth="10" defaultRowHeight="15" x14ac:dyDescent="0.25"/>
  <sheetData>
    <row r="2" spans="3:9" x14ac:dyDescent="0.25">
      <c r="C2" t="s">
        <v>167</v>
      </c>
      <c r="F2" s="7">
        <f>+F9+F10*F11</f>
        <v>0.12</v>
      </c>
      <c r="G2" s="18">
        <f t="shared" ref="G2:G3" si="0">1+F2</f>
        <v>1.1200000000000001</v>
      </c>
    </row>
    <row r="3" spans="3:9" x14ac:dyDescent="0.25">
      <c r="C3" t="s">
        <v>205</v>
      </c>
      <c r="F3" s="7">
        <f>+F2</f>
        <v>0.12</v>
      </c>
      <c r="G3" s="18">
        <f t="shared" si="0"/>
        <v>1.1200000000000001</v>
      </c>
    </row>
    <row r="4" spans="3:9" x14ac:dyDescent="0.25">
      <c r="C4" t="s">
        <v>206</v>
      </c>
      <c r="F4" s="7">
        <v>0.04</v>
      </c>
      <c r="G4" s="18">
        <f>1+F4</f>
        <v>1.04</v>
      </c>
    </row>
    <row r="5" spans="3:9" x14ac:dyDescent="0.25">
      <c r="C5" t="s">
        <v>130</v>
      </c>
      <c r="F5" s="3">
        <f>1.8/1.04</f>
        <v>1.7307692307692308</v>
      </c>
    </row>
    <row r="6" spans="3:9" x14ac:dyDescent="0.25">
      <c r="C6" t="s">
        <v>207</v>
      </c>
      <c r="F6" s="3">
        <f>+F5*G4/(F2-F4)</f>
        <v>22.500000000000004</v>
      </c>
    </row>
    <row r="8" spans="3:9" x14ac:dyDescent="0.25">
      <c r="F8" t="s">
        <v>212</v>
      </c>
      <c r="G8" t="s">
        <v>213</v>
      </c>
    </row>
    <row r="9" spans="3:9" x14ac:dyDescent="0.25">
      <c r="C9" t="s">
        <v>208</v>
      </c>
      <c r="F9" s="7">
        <v>0.03</v>
      </c>
      <c r="G9" s="7">
        <v>0.02</v>
      </c>
      <c r="H9" s="18">
        <f t="shared" ref="H9:H10" si="1">1+F9</f>
        <v>1.03</v>
      </c>
      <c r="I9" s="18">
        <f t="shared" ref="I9:I10" si="2">1+G9</f>
        <v>1.02</v>
      </c>
    </row>
    <row r="10" spans="3:9" x14ac:dyDescent="0.25">
      <c r="C10" t="s">
        <v>209</v>
      </c>
      <c r="F10" s="7">
        <v>4.4999999999999998E-2</v>
      </c>
      <c r="G10" s="7">
        <v>0.04</v>
      </c>
      <c r="H10" s="18">
        <f t="shared" si="1"/>
        <v>1.0449999999999999</v>
      </c>
      <c r="I10" s="18">
        <f t="shared" si="2"/>
        <v>1.04</v>
      </c>
    </row>
    <row r="11" spans="3:9" x14ac:dyDescent="0.25">
      <c r="C11" t="s">
        <v>210</v>
      </c>
      <c r="F11" s="30">
        <v>2</v>
      </c>
      <c r="G11" s="30">
        <v>1.25</v>
      </c>
    </row>
    <row r="12" spans="3:9" x14ac:dyDescent="0.25">
      <c r="C12" t="s">
        <v>206</v>
      </c>
      <c r="F12" s="7">
        <v>0.04</v>
      </c>
      <c r="G12" s="7">
        <v>0.05</v>
      </c>
      <c r="H12" s="18">
        <f>1+F12</f>
        <v>1.04</v>
      </c>
      <c r="I12" s="18">
        <f>1+G12</f>
        <v>1.05</v>
      </c>
    </row>
    <row r="13" spans="3:9" x14ac:dyDescent="0.25">
      <c r="C13" t="s">
        <v>130</v>
      </c>
      <c r="F13" s="4">
        <v>1.7307692307692308</v>
      </c>
      <c r="G13" s="4">
        <v>1.7307692307692308</v>
      </c>
    </row>
    <row r="14" spans="3:9" x14ac:dyDescent="0.25">
      <c r="C14" t="s">
        <v>211</v>
      </c>
      <c r="F14" s="3">
        <f>+F13*H12/(F9+F10*F11-F12)</f>
        <v>22.500000000000004</v>
      </c>
      <c r="G14" s="3">
        <f>+G13*I12/(G9+G10*G11-G12)</f>
        <v>90.865384615384613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295C-0513-40BE-9977-46750A08B45A}">
  <dimension ref="C2:J13"/>
  <sheetViews>
    <sheetView workbookViewId="0">
      <selection activeCell="J6" sqref="J6"/>
    </sheetView>
  </sheetViews>
  <sheetFormatPr baseColWidth="10" defaultRowHeight="15" x14ac:dyDescent="0.25"/>
  <cols>
    <col min="3" max="4" width="14.28515625" customWidth="1"/>
  </cols>
  <sheetData>
    <row r="2" spans="3:10" x14ac:dyDescent="0.25">
      <c r="C2" s="45" t="s">
        <v>19</v>
      </c>
      <c r="D2" s="45"/>
    </row>
    <row r="3" spans="3:10" ht="17.25" x14ac:dyDescent="0.3">
      <c r="C3" s="15">
        <v>0.12</v>
      </c>
      <c r="D3" s="15">
        <v>0.12</v>
      </c>
      <c r="G3" t="s">
        <v>1</v>
      </c>
      <c r="H3" s="3">
        <v>0.9</v>
      </c>
      <c r="J3" s="3">
        <v>0.3</v>
      </c>
    </row>
    <row r="4" spans="3:10" ht="17.25" x14ac:dyDescent="0.3">
      <c r="C4" s="45" t="s">
        <v>20</v>
      </c>
      <c r="D4" s="45"/>
      <c r="G4" t="s">
        <v>2</v>
      </c>
      <c r="H4" s="3">
        <f>+H3*(1+H5)/(H6-H5)</f>
        <v>10.3</v>
      </c>
      <c r="J4" s="3">
        <f>+J3*(1+J5)/(J6-J5)</f>
        <v>10.9</v>
      </c>
    </row>
    <row r="5" spans="3:10" x14ac:dyDescent="0.25">
      <c r="C5" s="16">
        <v>1000</v>
      </c>
      <c r="D5" s="16">
        <v>1000</v>
      </c>
      <c r="G5" t="s">
        <v>3</v>
      </c>
      <c r="H5" s="1">
        <v>0.03</v>
      </c>
      <c r="J5" s="1">
        <v>0.09</v>
      </c>
    </row>
    <row r="6" spans="3:10" ht="17.25" x14ac:dyDescent="0.3">
      <c r="C6" s="45" t="s">
        <v>8</v>
      </c>
      <c r="D6" s="45"/>
      <c r="G6" t="s">
        <v>4</v>
      </c>
      <c r="H6" s="1">
        <v>0.12</v>
      </c>
      <c r="J6" s="1">
        <v>0.12</v>
      </c>
    </row>
    <row r="7" spans="3:10" x14ac:dyDescent="0.25">
      <c r="C7" s="16">
        <f>+C5*C3</f>
        <v>120</v>
      </c>
      <c r="D7" s="16">
        <f>+D5*D3</f>
        <v>120</v>
      </c>
    </row>
    <row r="8" spans="3:10" x14ac:dyDescent="0.25">
      <c r="C8" s="45" t="s">
        <v>21</v>
      </c>
      <c r="D8" s="45"/>
    </row>
    <row r="9" spans="3:10" x14ac:dyDescent="0.25">
      <c r="C9" s="17">
        <v>0.75</v>
      </c>
      <c r="D9" s="17">
        <v>0.25</v>
      </c>
    </row>
    <row r="10" spans="3:10" x14ac:dyDescent="0.25">
      <c r="C10" s="45" t="s">
        <v>22</v>
      </c>
      <c r="D10" s="45"/>
    </row>
    <row r="11" spans="3:10" x14ac:dyDescent="0.25">
      <c r="C11" s="2">
        <v>0.12</v>
      </c>
      <c r="D11" s="2">
        <v>0.18</v>
      </c>
    </row>
    <row r="12" spans="3:10" x14ac:dyDescent="0.25">
      <c r="C12" s="45" t="s">
        <v>9</v>
      </c>
      <c r="D12" s="45"/>
    </row>
    <row r="13" spans="3:10" x14ac:dyDescent="0.25">
      <c r="C13" s="16">
        <f>+C7/(C11-C3*(1-C9))</f>
        <v>1333.3333333333335</v>
      </c>
      <c r="D13" s="16">
        <f>+D7/(D11-D3*(1-D9))</f>
        <v>1333.3333333333335</v>
      </c>
    </row>
  </sheetData>
  <mergeCells count="6">
    <mergeCell ref="C12:D12"/>
    <mergeCell ref="C2:D2"/>
    <mergeCell ref="C4:D4"/>
    <mergeCell ref="C6:D6"/>
    <mergeCell ref="C8:D8"/>
    <mergeCell ref="C10:D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BFCAC-5647-41EA-A455-C87B6238B6C9}">
  <dimension ref="A2:I230"/>
  <sheetViews>
    <sheetView workbookViewId="0">
      <selection activeCell="D227" sqref="D227:D230"/>
    </sheetView>
  </sheetViews>
  <sheetFormatPr baseColWidth="10" defaultRowHeight="15" x14ac:dyDescent="0.25"/>
  <cols>
    <col min="2" max="2" width="13.85546875" customWidth="1"/>
    <col min="4" max="4" width="14.85546875" customWidth="1"/>
  </cols>
  <sheetData>
    <row r="2" spans="1:8" x14ac:dyDescent="0.25">
      <c r="A2" t="s">
        <v>71</v>
      </c>
      <c r="B2" t="s">
        <v>88</v>
      </c>
    </row>
    <row r="4" spans="1:8" x14ac:dyDescent="0.25">
      <c r="B4" t="s">
        <v>72</v>
      </c>
      <c r="E4" s="3">
        <v>36</v>
      </c>
    </row>
    <row r="5" spans="1:8" x14ac:dyDescent="0.25">
      <c r="B5" t="s">
        <v>73</v>
      </c>
      <c r="E5" s="3">
        <v>2.4</v>
      </c>
    </row>
    <row r="6" spans="1:8" x14ac:dyDescent="0.25">
      <c r="B6" t="s">
        <v>74</v>
      </c>
      <c r="E6" s="7">
        <v>0.12</v>
      </c>
    </row>
    <row r="7" spans="1:8" x14ac:dyDescent="0.25">
      <c r="B7" t="s">
        <v>75</v>
      </c>
    </row>
    <row r="8" spans="1:8" x14ac:dyDescent="0.25">
      <c r="B8" t="s">
        <v>76</v>
      </c>
    </row>
    <row r="10" spans="1:8" x14ac:dyDescent="0.25">
      <c r="B10" t="s">
        <v>77</v>
      </c>
    </row>
    <row r="12" spans="1:8" x14ac:dyDescent="0.25">
      <c r="B12" t="s">
        <v>78</v>
      </c>
      <c r="D12" s="1" t="s">
        <v>79</v>
      </c>
      <c r="E12" s="27"/>
      <c r="F12" s="6"/>
      <c r="G12" s="27"/>
      <c r="H12" s="2"/>
    </row>
    <row r="14" spans="1:8" x14ac:dyDescent="0.25">
      <c r="D14" s="2" t="s">
        <v>80</v>
      </c>
      <c r="E14" s="27"/>
      <c r="F14" s="28"/>
    </row>
    <row r="16" spans="1:8" x14ac:dyDescent="0.25">
      <c r="C16" t="s">
        <v>81</v>
      </c>
    </row>
    <row r="18" spans="1:3" x14ac:dyDescent="0.25">
      <c r="C18" t="s">
        <v>82</v>
      </c>
    </row>
    <row r="20" spans="1:3" x14ac:dyDescent="0.25">
      <c r="C20">
        <f>0.12-2.4/36</f>
        <v>5.333333333333333E-2</v>
      </c>
    </row>
    <row r="21" spans="1:3" x14ac:dyDescent="0.25">
      <c r="B21" t="s">
        <v>0</v>
      </c>
      <c r="C21" s="29">
        <f>+C20/(1+2.4/36)</f>
        <v>4.9999999999999996E-2</v>
      </c>
    </row>
    <row r="23" spans="1:3" x14ac:dyDescent="0.25">
      <c r="B23" t="s">
        <v>83</v>
      </c>
      <c r="C23" s="3">
        <f>2.4*1.05^6</f>
        <v>3.2162295374999998</v>
      </c>
    </row>
    <row r="24" spans="1:3" x14ac:dyDescent="0.25">
      <c r="B24" t="s">
        <v>84</v>
      </c>
      <c r="C24" s="3">
        <f>+C23/(0.12-0.05)</f>
        <v>45.946136250000002</v>
      </c>
    </row>
    <row r="26" spans="1:3" x14ac:dyDescent="0.25">
      <c r="B26" t="s">
        <v>85</v>
      </c>
    </row>
    <row r="28" spans="1:3" x14ac:dyDescent="0.25">
      <c r="B28" t="s">
        <v>86</v>
      </c>
    </row>
    <row r="30" spans="1:3" x14ac:dyDescent="0.25">
      <c r="C30" s="3">
        <f>36*1.05^5</f>
        <v>45.946136250000002</v>
      </c>
    </row>
    <row r="32" spans="1:3" x14ac:dyDescent="0.25">
      <c r="A32" t="s">
        <v>87</v>
      </c>
      <c r="B32" t="s">
        <v>89</v>
      </c>
    </row>
    <row r="34" spans="2:6" x14ac:dyDescent="0.25">
      <c r="B34" t="s">
        <v>90</v>
      </c>
    </row>
    <row r="35" spans="2:6" x14ac:dyDescent="0.25">
      <c r="B35" t="s">
        <v>91</v>
      </c>
    </row>
    <row r="37" spans="2:6" x14ac:dyDescent="0.25">
      <c r="B37" t="s">
        <v>92</v>
      </c>
      <c r="C37" t="s">
        <v>93</v>
      </c>
    </row>
    <row r="39" spans="2:6" x14ac:dyDescent="0.25">
      <c r="D39" t="s">
        <v>8</v>
      </c>
      <c r="E39" t="s">
        <v>94</v>
      </c>
    </row>
    <row r="40" spans="2:6" x14ac:dyDescent="0.25">
      <c r="C40">
        <v>1</v>
      </c>
      <c r="D40" s="10">
        <f>1.15*1.15^C40</f>
        <v>1.3224999999999998</v>
      </c>
      <c r="E40" s="10">
        <f>+D40/1.12^C40</f>
        <v>1.1808035714285712</v>
      </c>
    </row>
    <row r="41" spans="2:6" x14ac:dyDescent="0.25">
      <c r="C41">
        <v>2</v>
      </c>
      <c r="D41" s="10">
        <f t="shared" ref="D41" si="0">1.15*1.15^C41</f>
        <v>1.5208749999999995</v>
      </c>
      <c r="E41" s="10">
        <f t="shared" ref="E41:E42" si="1">+D41/1.12^C41</f>
        <v>1.2124322385204076</v>
      </c>
    </row>
    <row r="42" spans="2:6" x14ac:dyDescent="0.25">
      <c r="C42">
        <v>3</v>
      </c>
      <c r="D42" s="10">
        <f>+D41*1.13</f>
        <v>1.7185887499999992</v>
      </c>
      <c r="E42" s="10">
        <f t="shared" si="1"/>
        <v>1.2232575263643395</v>
      </c>
    </row>
    <row r="43" spans="2:6" x14ac:dyDescent="0.25">
      <c r="D43" s="3"/>
      <c r="E43" s="3"/>
    </row>
    <row r="44" spans="2:6" x14ac:dyDescent="0.25">
      <c r="C44">
        <v>4</v>
      </c>
      <c r="D44" s="10">
        <f>+D42*1.06</f>
        <v>1.8217040749999993</v>
      </c>
      <c r="E44" s="3">
        <f>+D44/(0.12-0.06)</f>
        <v>30.361734583333323</v>
      </c>
      <c r="F44" t="s">
        <v>96</v>
      </c>
    </row>
    <row r="45" spans="2:6" x14ac:dyDescent="0.25">
      <c r="D45" s="3"/>
      <c r="E45" s="3">
        <f>+E44/1.12^C42</f>
        <v>21.610882965769999</v>
      </c>
      <c r="F45" t="s">
        <v>95</v>
      </c>
    </row>
    <row r="46" spans="2:6" x14ac:dyDescent="0.25">
      <c r="D46" s="3"/>
      <c r="E46" s="3"/>
    </row>
    <row r="47" spans="2:6" x14ac:dyDescent="0.25">
      <c r="D47" s="3"/>
      <c r="E47" s="3">
        <f>+SUM(E40:E42)+E45</f>
        <v>25.227376302083318</v>
      </c>
      <c r="F47" t="s">
        <v>99</v>
      </c>
    </row>
    <row r="49" spans="2:6" x14ac:dyDescent="0.25">
      <c r="B49" t="s">
        <v>97</v>
      </c>
      <c r="C49" t="s">
        <v>98</v>
      </c>
    </row>
    <row r="52" spans="2:6" x14ac:dyDescent="0.25">
      <c r="C52">
        <v>1</v>
      </c>
      <c r="D52" s="13">
        <f>+D41</f>
        <v>1.5208749999999995</v>
      </c>
      <c r="E52" s="10">
        <f t="shared" ref="E52:E53" si="2">+D52/1.12^C52</f>
        <v>1.3579241071428565</v>
      </c>
    </row>
    <row r="53" spans="2:6" x14ac:dyDescent="0.25">
      <c r="C53">
        <v>2</v>
      </c>
      <c r="D53" s="13">
        <f>+D42</f>
        <v>1.7185887499999992</v>
      </c>
      <c r="E53" s="10">
        <f t="shared" si="2"/>
        <v>1.3700484295280604</v>
      </c>
    </row>
    <row r="55" spans="2:6" x14ac:dyDescent="0.25">
      <c r="C55">
        <v>3</v>
      </c>
      <c r="D55" s="13">
        <f>+D44</f>
        <v>1.8217040749999993</v>
      </c>
      <c r="E55" s="3">
        <f>+D55/(0.12-0.06)</f>
        <v>30.361734583333323</v>
      </c>
      <c r="F55" t="s">
        <v>96</v>
      </c>
    </row>
    <row r="56" spans="2:6" x14ac:dyDescent="0.25">
      <c r="E56" s="3">
        <f>+E55/1.12^C53</f>
        <v>24.204188921662404</v>
      </c>
      <c r="F56" t="s">
        <v>95</v>
      </c>
    </row>
    <row r="58" spans="2:6" x14ac:dyDescent="0.25">
      <c r="E58" s="3">
        <f>+SUM(E52:E53)+E56</f>
        <v>26.932161458333319</v>
      </c>
      <c r="F58" t="s">
        <v>100</v>
      </c>
    </row>
    <row r="61" spans="2:6" x14ac:dyDescent="0.25">
      <c r="C61">
        <v>1</v>
      </c>
      <c r="D61" s="13">
        <f>+D53</f>
        <v>1.7185887499999992</v>
      </c>
      <c r="E61" s="10">
        <f t="shared" ref="E61" si="3">+D61/1.12^C61</f>
        <v>1.5344542410714277</v>
      </c>
    </row>
    <row r="62" spans="2:6" x14ac:dyDescent="0.25">
      <c r="D62" s="13"/>
      <c r="E62" s="10"/>
    </row>
    <row r="64" spans="2:6" x14ac:dyDescent="0.25">
      <c r="C64">
        <v>2</v>
      </c>
      <c r="D64" s="13">
        <f>+D55</f>
        <v>1.8217040749999993</v>
      </c>
      <c r="E64" s="3">
        <f>+D64/(0.12-0.06)</f>
        <v>30.361734583333323</v>
      </c>
      <c r="F64" t="s">
        <v>96</v>
      </c>
    </row>
    <row r="65" spans="1:8" x14ac:dyDescent="0.25">
      <c r="E65" s="3">
        <f>+E64/1.12^C61</f>
        <v>27.108691592261891</v>
      </c>
      <c r="F65" t="s">
        <v>95</v>
      </c>
    </row>
    <row r="67" spans="1:8" x14ac:dyDescent="0.25">
      <c r="E67" s="3">
        <f>+SUM(E61:E62)+E65</f>
        <v>28.643145833333318</v>
      </c>
      <c r="F67" t="s">
        <v>101</v>
      </c>
    </row>
    <row r="69" spans="1:8" x14ac:dyDescent="0.25">
      <c r="B69" t="s">
        <v>102</v>
      </c>
      <c r="C69" t="s">
        <v>103</v>
      </c>
    </row>
    <row r="71" spans="1:8" x14ac:dyDescent="0.25">
      <c r="D71" t="s">
        <v>104</v>
      </c>
      <c r="E71" t="s">
        <v>9</v>
      </c>
      <c r="F71" t="s">
        <v>105</v>
      </c>
      <c r="G71" t="s">
        <v>106</v>
      </c>
      <c r="H71" t="s">
        <v>107</v>
      </c>
    </row>
    <row r="72" spans="1:8" x14ac:dyDescent="0.25">
      <c r="C72">
        <v>0</v>
      </c>
      <c r="D72" s="30">
        <v>1.1499999999999999</v>
      </c>
      <c r="E72" s="4">
        <f>+E47</f>
        <v>25.227376302083318</v>
      </c>
      <c r="F72" s="4"/>
    </row>
    <row r="73" spans="1:8" x14ac:dyDescent="0.25">
      <c r="C73">
        <v>1</v>
      </c>
      <c r="D73" s="30">
        <f>+D72*1.15</f>
        <v>1.3224999999999998</v>
      </c>
      <c r="E73" s="4">
        <f>+E58</f>
        <v>26.932161458333319</v>
      </c>
      <c r="F73" s="5">
        <f>+D73/E72</f>
        <v>5.2423208191126301E-2</v>
      </c>
      <c r="G73" s="5">
        <f>+(E73-E72)/E72</f>
        <v>6.7576791808873785E-2</v>
      </c>
      <c r="H73" s="7">
        <f>+G73+F73</f>
        <v>0.12000000000000008</v>
      </c>
    </row>
    <row r="74" spans="1:8" x14ac:dyDescent="0.25">
      <c r="C74">
        <v>2</v>
      </c>
      <c r="D74" s="30">
        <f>+D73*1.15</f>
        <v>1.5208749999999995</v>
      </c>
      <c r="E74" s="4">
        <f>+E67</f>
        <v>28.643145833333318</v>
      </c>
      <c r="F74" s="5">
        <f t="shared" ref="F74:F75" si="4">+D74/E73</f>
        <v>5.6470588235294134E-2</v>
      </c>
      <c r="G74" s="5">
        <f t="shared" ref="G74:G75" si="5">+(E74-E73)/E73</f>
        <v>6.3529411764705876E-2</v>
      </c>
      <c r="H74" s="7">
        <f t="shared" ref="H74:H75" si="6">+G74+F74</f>
        <v>0.12000000000000001</v>
      </c>
    </row>
    <row r="75" spans="1:8" x14ac:dyDescent="0.25">
      <c r="C75">
        <v>3</v>
      </c>
      <c r="D75" s="30">
        <f>+D74*1.13</f>
        <v>1.7185887499999992</v>
      </c>
      <c r="E75" s="4">
        <f>+E44</f>
        <v>30.361734583333323</v>
      </c>
      <c r="F75" s="5">
        <f t="shared" si="4"/>
        <v>6.0000000000000005E-2</v>
      </c>
      <c r="G75" s="5">
        <f t="shared" si="5"/>
        <v>6.0000000000000234E-2</v>
      </c>
      <c r="H75" s="7">
        <f t="shared" si="6"/>
        <v>0.12000000000000025</v>
      </c>
    </row>
    <row r="78" spans="1:8" x14ac:dyDescent="0.25">
      <c r="A78" t="s">
        <v>108</v>
      </c>
    </row>
    <row r="80" spans="1:8" x14ac:dyDescent="0.25">
      <c r="B80" t="s">
        <v>109</v>
      </c>
    </row>
    <row r="81" spans="2:6" x14ac:dyDescent="0.25">
      <c r="B81" t="s">
        <v>110</v>
      </c>
    </row>
    <row r="82" spans="2:6" x14ac:dyDescent="0.25">
      <c r="D82">
        <v>1</v>
      </c>
      <c r="E82" s="3">
        <v>5</v>
      </c>
      <c r="F82" t="s">
        <v>111</v>
      </c>
    </row>
    <row r="83" spans="2:6" x14ac:dyDescent="0.25">
      <c r="D83">
        <v>2</v>
      </c>
      <c r="E83" s="3">
        <v>9</v>
      </c>
      <c r="F83" t="s">
        <v>111</v>
      </c>
    </row>
    <row r="84" spans="2:6" x14ac:dyDescent="0.25">
      <c r="D84">
        <v>3</v>
      </c>
      <c r="E84" s="3">
        <v>12</v>
      </c>
      <c r="F84" t="s">
        <v>111</v>
      </c>
    </row>
    <row r="85" spans="2:6" x14ac:dyDescent="0.25">
      <c r="B85" t="s">
        <v>113</v>
      </c>
      <c r="E85" s="1">
        <v>0.04</v>
      </c>
      <c r="F85" t="s">
        <v>114</v>
      </c>
    </row>
    <row r="86" spans="2:6" x14ac:dyDescent="0.25">
      <c r="B86" t="s">
        <v>112</v>
      </c>
      <c r="E86" s="1">
        <v>0.1</v>
      </c>
    </row>
    <row r="87" spans="2:6" x14ac:dyDescent="0.25">
      <c r="B87" t="s">
        <v>116</v>
      </c>
      <c r="E87" s="3">
        <v>27.2727</v>
      </c>
      <c r="F87" t="s">
        <v>111</v>
      </c>
    </row>
    <row r="88" spans="2:6" x14ac:dyDescent="0.25">
      <c r="B88" t="s">
        <v>115</v>
      </c>
      <c r="E88" s="3">
        <v>10</v>
      </c>
      <c r="F88" t="s">
        <v>111</v>
      </c>
    </row>
    <row r="89" spans="2:6" x14ac:dyDescent="0.25">
      <c r="B89" t="s">
        <v>68</v>
      </c>
      <c r="E89" s="18">
        <v>5</v>
      </c>
      <c r="F89" t="s">
        <v>111</v>
      </c>
    </row>
    <row r="91" spans="2:6" x14ac:dyDescent="0.25">
      <c r="B91" t="s">
        <v>117</v>
      </c>
    </row>
    <row r="93" spans="2:6" x14ac:dyDescent="0.25">
      <c r="E93" s="3">
        <f>+E82/(1+$E$86)^D82</f>
        <v>4.545454545454545</v>
      </c>
      <c r="F93" t="s">
        <v>111</v>
      </c>
    </row>
    <row r="94" spans="2:6" x14ac:dyDescent="0.25">
      <c r="E94" s="3">
        <f t="shared" ref="E94:E95" si="7">+E83/(1+$E$86)^D83</f>
        <v>7.438016528925619</v>
      </c>
      <c r="F94" t="s">
        <v>111</v>
      </c>
    </row>
    <row r="95" spans="2:6" x14ac:dyDescent="0.25">
      <c r="E95" s="3">
        <f t="shared" si="7"/>
        <v>9.0157776108189296</v>
      </c>
      <c r="F95" t="s">
        <v>111</v>
      </c>
    </row>
    <row r="96" spans="2:6" x14ac:dyDescent="0.25">
      <c r="E96" s="3">
        <f>+(E84*(1+E85)/(E86-E85))/(1+E86)^D84</f>
        <v>156.27347858752813</v>
      </c>
      <c r="F96" t="s">
        <v>118</v>
      </c>
    </row>
    <row r="98" spans="1:6" x14ac:dyDescent="0.25">
      <c r="E98" s="4">
        <f>+SUM(E93:E96)</f>
        <v>177.27272727272722</v>
      </c>
      <c r="F98" t="s">
        <v>119</v>
      </c>
    </row>
    <row r="99" spans="1:6" x14ac:dyDescent="0.25">
      <c r="E99" s="4">
        <f>+E88</f>
        <v>10</v>
      </c>
      <c r="F99" t="s">
        <v>120</v>
      </c>
    </row>
    <row r="100" spans="1:6" x14ac:dyDescent="0.25">
      <c r="E100" s="4">
        <f>+E87</f>
        <v>27.2727</v>
      </c>
      <c r="F100" t="s">
        <v>121</v>
      </c>
    </row>
    <row r="102" spans="1:6" x14ac:dyDescent="0.25">
      <c r="E102" s="4">
        <f>+E98+E99-E100</f>
        <v>160.00002727272721</v>
      </c>
      <c r="F102" t="s">
        <v>122</v>
      </c>
    </row>
    <row r="103" spans="1:6" x14ac:dyDescent="0.25">
      <c r="E103" s="19">
        <f>+E102/E89</f>
        <v>32.000005454545445</v>
      </c>
      <c r="F103" t="s">
        <v>93</v>
      </c>
    </row>
    <row r="105" spans="1:6" x14ac:dyDescent="0.25">
      <c r="A105" s="26" t="s">
        <v>123</v>
      </c>
      <c r="B105" t="s">
        <v>124</v>
      </c>
    </row>
    <row r="106" spans="1:6" x14ac:dyDescent="0.25">
      <c r="B106" t="s">
        <v>125</v>
      </c>
      <c r="E106">
        <v>1.8</v>
      </c>
    </row>
    <row r="107" spans="1:6" x14ac:dyDescent="0.25">
      <c r="B107" t="s">
        <v>0</v>
      </c>
      <c r="E107" s="1">
        <v>0.04</v>
      </c>
    </row>
    <row r="108" spans="1:6" x14ac:dyDescent="0.25">
      <c r="B108" t="s">
        <v>126</v>
      </c>
      <c r="E108" s="1">
        <v>0.1</v>
      </c>
    </row>
    <row r="110" spans="1:6" x14ac:dyDescent="0.25">
      <c r="B110" t="s">
        <v>127</v>
      </c>
      <c r="E110">
        <f>+E106/(E108-E107)</f>
        <v>30</v>
      </c>
    </row>
    <row r="112" spans="1:6" x14ac:dyDescent="0.25">
      <c r="A112" s="26" t="s">
        <v>128</v>
      </c>
      <c r="B112" t="s">
        <v>129</v>
      </c>
    </row>
    <row r="113" spans="1:6" x14ac:dyDescent="0.25">
      <c r="B113" t="s">
        <v>130</v>
      </c>
      <c r="E113">
        <v>2.75</v>
      </c>
    </row>
    <row r="114" spans="1:6" x14ac:dyDescent="0.25">
      <c r="B114" t="s">
        <v>131</v>
      </c>
      <c r="E114" s="1">
        <v>0.18</v>
      </c>
      <c r="F114" s="18">
        <f>1+E114</f>
        <v>1.18</v>
      </c>
    </row>
    <row r="115" spans="1:6" x14ac:dyDescent="0.25">
      <c r="B115" t="s">
        <v>0</v>
      </c>
      <c r="E115" s="1">
        <v>0.06</v>
      </c>
      <c r="F115" s="18">
        <f t="shared" ref="F115:F116" si="8">1+E115</f>
        <v>1.06</v>
      </c>
    </row>
    <row r="116" spans="1:6" x14ac:dyDescent="0.25">
      <c r="B116" t="s">
        <v>126</v>
      </c>
      <c r="E116" s="1">
        <v>0.12</v>
      </c>
      <c r="F116" s="18">
        <f t="shared" si="8"/>
        <v>1.1200000000000001</v>
      </c>
    </row>
    <row r="118" spans="1:6" x14ac:dyDescent="0.25">
      <c r="A118" t="s">
        <v>92</v>
      </c>
      <c r="B118" t="s">
        <v>132</v>
      </c>
      <c r="E118" t="s">
        <v>133</v>
      </c>
    </row>
    <row r="119" spans="1:6" x14ac:dyDescent="0.25">
      <c r="A119" t="s">
        <v>97</v>
      </c>
      <c r="B119" t="s">
        <v>58</v>
      </c>
      <c r="E119" s="3">
        <f>+E113*(1+E114)^2*(1+E115)/(E116-E115)</f>
        <v>67.647433333333339</v>
      </c>
      <c r="F119" t="s">
        <v>134</v>
      </c>
    </row>
    <row r="120" spans="1:6" x14ac:dyDescent="0.25">
      <c r="A120" t="s">
        <v>102</v>
      </c>
      <c r="B120" t="s">
        <v>135</v>
      </c>
      <c r="E120" s="3">
        <f>+E113*F114/F116+E113*F114^2/F116^2+E119/F116^2</f>
        <v>59.87797619047619</v>
      </c>
    </row>
    <row r="121" spans="1:6" x14ac:dyDescent="0.25">
      <c r="E121" s="3"/>
    </row>
    <row r="122" spans="1:6" x14ac:dyDescent="0.25">
      <c r="E122" s="3"/>
    </row>
    <row r="123" spans="1:6" x14ac:dyDescent="0.25">
      <c r="A123" s="26" t="s">
        <v>136</v>
      </c>
      <c r="B123" t="s">
        <v>137</v>
      </c>
      <c r="E123" s="3"/>
    </row>
    <row r="124" spans="1:6" x14ac:dyDescent="0.25">
      <c r="B124" t="s">
        <v>138</v>
      </c>
      <c r="E124" s="3"/>
    </row>
    <row r="125" spans="1:6" x14ac:dyDescent="0.25">
      <c r="B125" t="s">
        <v>139</v>
      </c>
      <c r="E125" s="3">
        <v>30</v>
      </c>
    </row>
    <row r="126" spans="1:6" x14ac:dyDescent="0.25">
      <c r="B126" t="s">
        <v>104</v>
      </c>
      <c r="E126" s="3">
        <v>2.75</v>
      </c>
    </row>
    <row r="128" spans="1:6" x14ac:dyDescent="0.25">
      <c r="B128" t="s">
        <v>140</v>
      </c>
      <c r="E128" s="5">
        <f>+E126/E125</f>
        <v>9.166666666666666E-2</v>
      </c>
    </row>
    <row r="131" spans="1:5" x14ac:dyDescent="0.25">
      <c r="A131" s="26" t="s">
        <v>141</v>
      </c>
      <c r="B131" t="s">
        <v>137</v>
      </c>
    </row>
    <row r="133" spans="1:5" x14ac:dyDescent="0.25">
      <c r="B133" t="s">
        <v>142</v>
      </c>
    </row>
    <row r="134" spans="1:5" x14ac:dyDescent="0.25">
      <c r="B134" t="s">
        <v>143</v>
      </c>
      <c r="D134">
        <v>100</v>
      </c>
    </row>
    <row r="135" spans="1:5" x14ac:dyDescent="0.25">
      <c r="B135" t="s">
        <v>104</v>
      </c>
      <c r="D135">
        <v>8</v>
      </c>
      <c r="E135" s="1">
        <v>0.08</v>
      </c>
    </row>
    <row r="136" spans="1:5" x14ac:dyDescent="0.25">
      <c r="B136" t="s">
        <v>144</v>
      </c>
      <c r="E136" s="1">
        <v>7.0000000000000007E-2</v>
      </c>
    </row>
    <row r="138" spans="1:5" x14ac:dyDescent="0.25">
      <c r="A138" t="s">
        <v>92</v>
      </c>
      <c r="B138" t="s">
        <v>145</v>
      </c>
      <c r="D138" s="3">
        <f>+D135/E136</f>
        <v>114.28571428571428</v>
      </c>
    </row>
    <row r="139" spans="1:5" x14ac:dyDescent="0.25">
      <c r="A139" t="s">
        <v>97</v>
      </c>
      <c r="B139" t="s">
        <v>146</v>
      </c>
    </row>
    <row r="140" spans="1:5" x14ac:dyDescent="0.25">
      <c r="D140" s="3">
        <f>+D135/0.09</f>
        <v>88.888888888888886</v>
      </c>
    </row>
    <row r="142" spans="1:5" x14ac:dyDescent="0.25">
      <c r="A142" s="26" t="s">
        <v>147</v>
      </c>
      <c r="B142" t="s">
        <v>148</v>
      </c>
    </row>
    <row r="143" spans="1:5" x14ac:dyDescent="0.25">
      <c r="B143" t="s">
        <v>149</v>
      </c>
    </row>
    <row r="144" spans="1:5" x14ac:dyDescent="0.25">
      <c r="B144" t="s">
        <v>150</v>
      </c>
    </row>
    <row r="145" spans="1:5" x14ac:dyDescent="0.25">
      <c r="B145" t="s">
        <v>151</v>
      </c>
    </row>
    <row r="146" spans="1:5" x14ac:dyDescent="0.25">
      <c r="B146" t="s">
        <v>152</v>
      </c>
    </row>
    <row r="147" spans="1:5" x14ac:dyDescent="0.25">
      <c r="B147" t="s">
        <v>153</v>
      </c>
    </row>
    <row r="149" spans="1:5" x14ac:dyDescent="0.25">
      <c r="C149" t="s">
        <v>154</v>
      </c>
    </row>
    <row r="150" spans="1:5" x14ac:dyDescent="0.25">
      <c r="C150" s="3">
        <f>3*(1-0.06)/(0.1+0.06)</f>
        <v>17.625</v>
      </c>
    </row>
    <row r="152" spans="1:5" x14ac:dyDescent="0.25">
      <c r="A152" s="26" t="s">
        <v>155</v>
      </c>
      <c r="B152" t="s">
        <v>88</v>
      </c>
    </row>
    <row r="154" spans="1:5" x14ac:dyDescent="0.25">
      <c r="B154" t="s">
        <v>156</v>
      </c>
      <c r="E154" s="1">
        <v>0.08</v>
      </c>
    </row>
    <row r="155" spans="1:5" x14ac:dyDescent="0.25">
      <c r="B155" t="s">
        <v>130</v>
      </c>
      <c r="E155" s="3">
        <v>1.25</v>
      </c>
    </row>
    <row r="157" spans="1:5" x14ac:dyDescent="0.25">
      <c r="A157" t="s">
        <v>92</v>
      </c>
      <c r="B157" t="s">
        <v>157</v>
      </c>
    </row>
    <row r="158" spans="1:5" x14ac:dyDescent="0.25">
      <c r="D158" s="1">
        <v>-0.02</v>
      </c>
      <c r="E158" s="3">
        <f>+$E$155*(1+D158)/($E$154-D158)</f>
        <v>12.25</v>
      </c>
    </row>
    <row r="159" spans="1:5" x14ac:dyDescent="0.25">
      <c r="D159" s="1">
        <v>0</v>
      </c>
      <c r="E159" s="3">
        <f t="shared" ref="E159:E161" si="9">+$E$155*(1+D159)/($E$154-D159)</f>
        <v>15.625</v>
      </c>
    </row>
    <row r="160" spans="1:5" x14ac:dyDescent="0.25">
      <c r="D160" s="1">
        <v>0.03</v>
      </c>
      <c r="E160" s="3">
        <f t="shared" si="9"/>
        <v>25.75</v>
      </c>
    </row>
    <row r="161" spans="1:6" x14ac:dyDescent="0.25">
      <c r="D161" s="1">
        <v>0.05</v>
      </c>
      <c r="E161" s="3">
        <f t="shared" si="9"/>
        <v>43.75</v>
      </c>
    </row>
    <row r="163" spans="1:6" x14ac:dyDescent="0.25">
      <c r="A163" t="s">
        <v>97</v>
      </c>
      <c r="B163" t="s">
        <v>158</v>
      </c>
    </row>
    <row r="164" spans="1:6" x14ac:dyDescent="0.25">
      <c r="B164" t="s">
        <v>159</v>
      </c>
    </row>
    <row r="165" spans="1:6" x14ac:dyDescent="0.25">
      <c r="A165" t="s">
        <v>102</v>
      </c>
      <c r="B165" t="s">
        <v>160</v>
      </c>
    </row>
    <row r="166" spans="1:6" x14ac:dyDescent="0.25">
      <c r="B166" t="s">
        <v>161</v>
      </c>
    </row>
    <row r="169" spans="1:6" x14ac:dyDescent="0.25">
      <c r="A169" s="26" t="s">
        <v>162</v>
      </c>
      <c r="B169" t="s">
        <v>129</v>
      </c>
    </row>
    <row r="170" spans="1:6" x14ac:dyDescent="0.25">
      <c r="B170" t="s">
        <v>164</v>
      </c>
    </row>
    <row r="171" spans="1:6" x14ac:dyDescent="0.25">
      <c r="B171" t="s">
        <v>163</v>
      </c>
      <c r="E171" s="3">
        <v>0.5</v>
      </c>
    </row>
    <row r="172" spans="1:6" x14ac:dyDescent="0.25">
      <c r="B172" t="s">
        <v>165</v>
      </c>
      <c r="E172" s="7">
        <v>0.35</v>
      </c>
      <c r="F172" s="31">
        <f>1+E172</f>
        <v>1.35</v>
      </c>
    </row>
    <row r="173" spans="1:6" x14ac:dyDescent="0.25">
      <c r="B173" t="s">
        <v>166</v>
      </c>
      <c r="E173" s="7">
        <v>7.0000000000000007E-2</v>
      </c>
      <c r="F173" s="31">
        <f t="shared" ref="F173:F174" si="10">1+E173</f>
        <v>1.07</v>
      </c>
    </row>
    <row r="174" spans="1:6" x14ac:dyDescent="0.25">
      <c r="B174" t="s">
        <v>167</v>
      </c>
      <c r="E174" s="7">
        <v>0.13</v>
      </c>
      <c r="F174" s="31">
        <f t="shared" si="10"/>
        <v>1.1299999999999999</v>
      </c>
    </row>
    <row r="175" spans="1:6" x14ac:dyDescent="0.25">
      <c r="E175" s="3"/>
    </row>
    <row r="176" spans="1:6" ht="15.75" thickBot="1" x14ac:dyDescent="0.3">
      <c r="B176" t="s">
        <v>168</v>
      </c>
      <c r="E176" s="34">
        <f>+E171/F174^3+E171*F172/F174^4+E171*F172^2/F174^5+(E171*F172^2*F173/(E174-E173))/F174^5</f>
        <v>10.075293398952965</v>
      </c>
    </row>
    <row r="177" spans="1:6" ht="15.75" thickTop="1" x14ac:dyDescent="0.25">
      <c r="F177" s="9">
        <f>+E171/F174^3</f>
        <v>0.34652508113884789</v>
      </c>
    </row>
    <row r="178" spans="1:6" x14ac:dyDescent="0.25">
      <c r="F178" s="9">
        <f>+E171*F172/F174^4</f>
        <v>0.41399014118357941</v>
      </c>
    </row>
    <row r="179" spans="1:6" x14ac:dyDescent="0.25">
      <c r="F179" s="9">
        <f>+E171*F172^2/F174^5</f>
        <v>0.49458999167949758</v>
      </c>
    </row>
    <row r="180" spans="1:6" x14ac:dyDescent="0.25">
      <c r="F180" s="32">
        <f>((E171*F172^2*F173)/(E174-E173))/F174^5</f>
        <v>8.8201881849510411</v>
      </c>
    </row>
    <row r="181" spans="1:6" ht="15.75" thickBot="1" x14ac:dyDescent="0.3">
      <c r="F181" s="33">
        <f>SUM(F177:F180)</f>
        <v>10.075293398952965</v>
      </c>
    </row>
    <row r="182" spans="1:6" ht="15.75" thickTop="1" x14ac:dyDescent="0.25"/>
    <row r="183" spans="1:6" x14ac:dyDescent="0.25">
      <c r="A183" s="26" t="s">
        <v>169</v>
      </c>
      <c r="B183" t="s">
        <v>129</v>
      </c>
    </row>
    <row r="185" spans="1:6" x14ac:dyDescent="0.25">
      <c r="B185" t="s">
        <v>170</v>
      </c>
      <c r="E185" s="3">
        <v>30</v>
      </c>
    </row>
    <row r="186" spans="1:6" x14ac:dyDescent="0.25">
      <c r="B186" t="s">
        <v>130</v>
      </c>
      <c r="E186" s="3">
        <v>1</v>
      </c>
    </row>
    <row r="187" spans="1:6" x14ac:dyDescent="0.25">
      <c r="B187" t="s">
        <v>171</v>
      </c>
      <c r="E187" s="5">
        <v>0.3</v>
      </c>
      <c r="F187" s="18">
        <f>1+E187</f>
        <v>1.3</v>
      </c>
    </row>
    <row r="188" spans="1:6" x14ac:dyDescent="0.25">
      <c r="B188" t="s">
        <v>166</v>
      </c>
      <c r="E188" s="2" t="s">
        <v>173</v>
      </c>
    </row>
    <row r="189" spans="1:6" x14ac:dyDescent="0.25">
      <c r="B189" t="s">
        <v>172</v>
      </c>
      <c r="E189" s="5">
        <v>0.09</v>
      </c>
      <c r="F189" s="18">
        <f>1+E189</f>
        <v>1.0900000000000001</v>
      </c>
    </row>
    <row r="191" spans="1:6" x14ac:dyDescent="0.25">
      <c r="B191" t="s">
        <v>174</v>
      </c>
    </row>
    <row r="192" spans="1:6" x14ac:dyDescent="0.25">
      <c r="B192" t="s">
        <v>175</v>
      </c>
    </row>
    <row r="193" spans="3:7" x14ac:dyDescent="0.25">
      <c r="E193">
        <f>+E186*F187</f>
        <v>1.3</v>
      </c>
      <c r="F193" t="s">
        <v>176</v>
      </c>
      <c r="G193" s="19">
        <f>+E193/F189</f>
        <v>1.1926605504587156</v>
      </c>
    </row>
    <row r="194" spans="3:7" x14ac:dyDescent="0.25">
      <c r="E194" s="19">
        <f>+E193*F187</f>
        <v>1.6900000000000002</v>
      </c>
      <c r="F194" t="s">
        <v>177</v>
      </c>
      <c r="G194" s="19">
        <f>+E194/F189^2</f>
        <v>1.4224391886204863</v>
      </c>
    </row>
    <row r="195" spans="3:7" x14ac:dyDescent="0.25">
      <c r="E195" s="19">
        <f>+E194*F187</f>
        <v>2.1970000000000005</v>
      </c>
      <c r="F195" t="s">
        <v>178</v>
      </c>
      <c r="G195" s="36">
        <f>+E195/F189^3</f>
        <v>1.6964871056941584</v>
      </c>
    </row>
    <row r="196" spans="3:7" ht="15.75" thickBot="1" x14ac:dyDescent="0.3">
      <c r="G196" s="35">
        <f>SUM(G193:G195)</f>
        <v>4.3115868447733607</v>
      </c>
    </row>
    <row r="197" spans="3:7" ht="15.75" thickTop="1" x14ac:dyDescent="0.25"/>
    <row r="198" spans="3:7" x14ac:dyDescent="0.25">
      <c r="D198" t="s">
        <v>181</v>
      </c>
      <c r="E198" s="19">
        <f>+E185-G196</f>
        <v>25.688413155226641</v>
      </c>
    </row>
    <row r="199" spans="3:7" x14ac:dyDescent="0.25">
      <c r="D199" t="s">
        <v>96</v>
      </c>
      <c r="E199" s="19">
        <f>+E198*F189^3</f>
        <v>33.267240000000008</v>
      </c>
    </row>
    <row r="201" spans="3:7" x14ac:dyDescent="0.25">
      <c r="D201" t="s">
        <v>182</v>
      </c>
    </row>
    <row r="203" spans="3:7" x14ac:dyDescent="0.25">
      <c r="D203" t="s">
        <v>179</v>
      </c>
    </row>
    <row r="205" spans="3:7" x14ac:dyDescent="0.25">
      <c r="D205" t="s">
        <v>180</v>
      </c>
    </row>
    <row r="206" spans="3:7" x14ac:dyDescent="0.25">
      <c r="D206" t="s">
        <v>183</v>
      </c>
    </row>
    <row r="208" spans="3:7" x14ac:dyDescent="0.25">
      <c r="C208" t="s">
        <v>0</v>
      </c>
      <c r="D208" s="5">
        <f>+(E189*E199-E195)/(E195+E199)</f>
        <v>2.2474797147774769E-2</v>
      </c>
    </row>
    <row r="211" spans="1:9" x14ac:dyDescent="0.25">
      <c r="A211" s="26" t="s">
        <v>184</v>
      </c>
      <c r="B211" t="s">
        <v>185</v>
      </c>
    </row>
    <row r="213" spans="1:9" x14ac:dyDescent="0.25">
      <c r="B213" t="s">
        <v>186</v>
      </c>
    </row>
    <row r="215" spans="1:9" x14ac:dyDescent="0.25">
      <c r="B215" t="s">
        <v>187</v>
      </c>
      <c r="I215" t="s">
        <v>188</v>
      </c>
    </row>
    <row r="216" spans="1:9" x14ac:dyDescent="0.25">
      <c r="B216" t="s">
        <v>189</v>
      </c>
    </row>
    <row r="217" spans="1:9" x14ac:dyDescent="0.25">
      <c r="B217" t="s">
        <v>190</v>
      </c>
    </row>
    <row r="218" spans="1:9" x14ac:dyDescent="0.25">
      <c r="B218" t="s">
        <v>191</v>
      </c>
    </row>
    <row r="219" spans="1:9" x14ac:dyDescent="0.25">
      <c r="B219" t="s">
        <v>192</v>
      </c>
    </row>
    <row r="220" spans="1:9" x14ac:dyDescent="0.25">
      <c r="B220" t="s">
        <v>193</v>
      </c>
      <c r="F220" t="s">
        <v>200</v>
      </c>
    </row>
    <row r="221" spans="1:9" x14ac:dyDescent="0.25">
      <c r="B221" t="s">
        <v>194</v>
      </c>
    </row>
    <row r="222" spans="1:9" x14ac:dyDescent="0.25">
      <c r="B222" t="s">
        <v>195</v>
      </c>
    </row>
    <row r="223" spans="1:9" x14ac:dyDescent="0.25">
      <c r="B223" t="s">
        <v>196</v>
      </c>
    </row>
    <row r="224" spans="1:9" x14ac:dyDescent="0.25">
      <c r="B224" t="s">
        <v>197</v>
      </c>
    </row>
    <row r="225" spans="2:5" x14ac:dyDescent="0.25">
      <c r="B225" t="s">
        <v>198</v>
      </c>
    </row>
    <row r="227" spans="2:5" x14ac:dyDescent="0.25">
      <c r="B227" t="s">
        <v>199</v>
      </c>
      <c r="D227" s="3">
        <f>400+140-225</f>
        <v>315</v>
      </c>
      <c r="E227" t="s">
        <v>201</v>
      </c>
    </row>
    <row r="228" spans="2:5" x14ac:dyDescent="0.25">
      <c r="D228" s="3">
        <f>+D227/(0.1-0.06)</f>
        <v>7874.9999999999982</v>
      </c>
      <c r="E228" t="s">
        <v>202</v>
      </c>
    </row>
    <row r="229" spans="2:5" x14ac:dyDescent="0.25">
      <c r="D229" s="3">
        <f>+D228+200-3875</f>
        <v>4199.9999999999982</v>
      </c>
      <c r="E229" t="s">
        <v>203</v>
      </c>
    </row>
    <row r="230" spans="2:5" x14ac:dyDescent="0.25">
      <c r="D230" s="3">
        <f>+D229/200</f>
        <v>20.999999999999989</v>
      </c>
      <c r="E230" t="s">
        <v>204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0668E3FE9A3174EAF1AA80B147CEE15" ma:contentTypeVersion="4" ma:contentTypeDescription="Crear nuevo documento." ma:contentTypeScope="" ma:versionID="d29dfd9a9a7666034e5ad4f5ee96d9e6">
  <xsd:schema xmlns:xsd="http://www.w3.org/2001/XMLSchema" xmlns:xs="http://www.w3.org/2001/XMLSchema" xmlns:p="http://schemas.microsoft.com/office/2006/metadata/properties" xmlns:ns2="e0a2096b-51a3-4c59-a6bd-c7f798262ca8" targetNamespace="http://schemas.microsoft.com/office/2006/metadata/properties" ma:root="true" ma:fieldsID="bfc5d357d775e068c7ede3c89a10d3d3" ns2:_="">
    <xsd:import namespace="e0a2096b-51a3-4c59-a6bd-c7f798262c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2096b-51a3-4c59-a6bd-c7f798262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B841E6-9C86-429E-BB71-92FEE08A1258}"/>
</file>

<file path=customXml/itemProps2.xml><?xml version="1.0" encoding="utf-8"?>
<ds:datastoreItem xmlns:ds="http://schemas.openxmlformats.org/officeDocument/2006/customXml" ds:itemID="{8268357E-6902-4ADC-BA27-6D2881B11687}"/>
</file>

<file path=customXml/itemProps3.xml><?xml version="1.0" encoding="utf-8"?>
<ds:datastoreItem xmlns:ds="http://schemas.openxmlformats.org/officeDocument/2006/customXml" ds:itemID="{C4660923-5EDC-42DB-A9F9-D9FC715568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ACCIÓN DE CRECIMIENTO CONSTANTE</vt:lpstr>
      <vt:lpstr>EJERCICIO</vt:lpstr>
      <vt:lpstr>PAGINA 335</vt:lpstr>
      <vt:lpstr>MODELO VALUACIÓN CORPORATIVA</vt:lpstr>
      <vt:lpstr>Balance Allied</vt:lpstr>
      <vt:lpstr>EQUILIBRIO DEL MERCADO</vt:lpstr>
      <vt:lpstr>CAMBIO EN LA POLITICA DE PAGO</vt:lpstr>
      <vt:lpstr>AUTOEVALUACIÓN Y PROBLEMAS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GRINBLAT GUSTAVO GABRIEL</cp:lastModifiedBy>
  <dcterms:created xsi:type="dcterms:W3CDTF">2023-03-04T20:26:05Z</dcterms:created>
  <dcterms:modified xsi:type="dcterms:W3CDTF">2024-04-26T00:54:58Z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0x01010020668E3FE9A3174EAF1AA80B147CEE15</vt:lpwstr>
  </property>
</Properties>
</file>