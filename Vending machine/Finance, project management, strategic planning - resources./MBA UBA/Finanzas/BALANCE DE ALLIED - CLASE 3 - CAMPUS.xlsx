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INANZAS CORPORATIVAS\CLASES\"/>
    </mc:Choice>
  </mc:AlternateContent>
  <xr:revisionPtr revIDLastSave="0" documentId="13_ncr:1_{22E6F128-8F4D-4B12-A8B2-4163CC51B639}" xr6:coauthVersionLast="47" xr6:coauthVersionMax="47" xr10:uidLastSave="{00000000-0000-0000-0000-000000000000}"/>
  <bookViews>
    <workbookView xWindow="-120" yWindow="-120" windowWidth="20730" windowHeight="11040" xr2:uid="{796AF53B-611F-4195-8667-4BAF08D1EF9F}"/>
  </bookViews>
  <sheets>
    <sheet name="ANÁLISIS DE RAZONES" sheetId="10" r:id="rId1"/>
    <sheet name="DuPont" sheetId="12" r:id="rId2"/>
    <sheet name="LEVERAGE" sheetId="11" r:id="rId3"/>
    <sheet name="Balance" sheetId="1" r:id="rId4"/>
    <sheet name="Estado de Resultad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0" l="1"/>
  <c r="G58" i="10"/>
  <c r="G57" i="10"/>
  <c r="G56" i="10"/>
  <c r="J14" i="12" l="1"/>
  <c r="H14" i="12"/>
  <c r="F14" i="12"/>
  <c r="D14" i="12"/>
  <c r="F4" i="12"/>
  <c r="F3" i="12"/>
  <c r="H3" i="12"/>
  <c r="G87" i="10" l="1"/>
  <c r="G86" i="10"/>
  <c r="I91" i="10"/>
  <c r="I90" i="10"/>
  <c r="G91" i="10"/>
  <c r="G90" i="10"/>
  <c r="G82" i="10"/>
  <c r="G81" i="10"/>
  <c r="I81" i="10"/>
  <c r="G76" i="10"/>
  <c r="G75" i="10"/>
  <c r="G73" i="10"/>
  <c r="G72" i="10"/>
  <c r="G62" i="10"/>
  <c r="G61" i="10" s="1"/>
  <c r="G64" i="10"/>
  <c r="G63" i="10"/>
  <c r="G43" i="10"/>
  <c r="G42" i="10"/>
  <c r="G40" i="10"/>
  <c r="G39" i="10"/>
  <c r="G9" i="10"/>
  <c r="G5" i="10"/>
  <c r="G37" i="10"/>
  <c r="G36" i="10"/>
  <c r="G34" i="10"/>
  <c r="G33" i="10"/>
  <c r="G31" i="10"/>
  <c r="G30" i="10"/>
  <c r="G28" i="10"/>
  <c r="G27" i="10"/>
  <c r="G25" i="10"/>
  <c r="G24" i="10"/>
  <c r="G22" i="10"/>
  <c r="G21" i="10"/>
  <c r="G13" i="11"/>
  <c r="H13" i="11"/>
  <c r="H14" i="11" s="1"/>
  <c r="H16" i="11" s="1"/>
  <c r="I13" i="11"/>
  <c r="P13" i="11"/>
  <c r="Q13" i="11"/>
  <c r="R13" i="11"/>
  <c r="G14" i="11"/>
  <c r="I14" i="11"/>
  <c r="P14" i="11"/>
  <c r="Q14" i="11"/>
  <c r="Q16" i="11" s="1"/>
  <c r="R14" i="11"/>
  <c r="R16" i="11" s="1"/>
  <c r="R18" i="11" s="1"/>
  <c r="R19" i="11" s="1"/>
  <c r="G16" i="11"/>
  <c r="G17" i="11" s="1"/>
  <c r="I16" i="11"/>
  <c r="I17" i="11" s="1"/>
  <c r="P16" i="11"/>
  <c r="P17" i="11" s="1"/>
  <c r="G19" i="10"/>
  <c r="G18" i="10"/>
  <c r="G16" i="10"/>
  <c r="G15" i="10"/>
  <c r="G12" i="10"/>
  <c r="G11" i="10"/>
  <c r="G8" i="10"/>
  <c r="G4" i="10"/>
  <c r="Q17" i="11" l="1"/>
  <c r="Q18" i="11"/>
  <c r="Q19" i="11" s="1"/>
  <c r="H17" i="11"/>
  <c r="H18" i="11"/>
  <c r="H19" i="11" s="1"/>
  <c r="G18" i="11"/>
  <c r="G19" i="11" s="1"/>
  <c r="I18" i="11"/>
  <c r="I19" i="11" s="1"/>
  <c r="P18" i="11"/>
  <c r="P19" i="11" s="1"/>
  <c r="L26" i="1"/>
  <c r="L22" i="1"/>
  <c r="J14" i="2"/>
  <c r="I14" i="2"/>
  <c r="G34" i="2"/>
  <c r="J34" i="2" s="1"/>
  <c r="I34" i="2"/>
  <c r="I33" i="2"/>
  <c r="I32" i="2"/>
  <c r="G33" i="2"/>
  <c r="G28" i="2"/>
  <c r="J28" i="2" s="1"/>
  <c r="J34" i="1"/>
  <c r="I34" i="1"/>
  <c r="J31" i="1"/>
  <c r="I31" i="1"/>
  <c r="J30" i="1"/>
  <c r="I30" i="1"/>
  <c r="J26" i="1"/>
  <c r="I26" i="1"/>
  <c r="G27" i="2"/>
  <c r="J27" i="2" s="1"/>
  <c r="I28" i="2"/>
  <c r="I27" i="2"/>
  <c r="I26" i="2"/>
  <c r="J7" i="2"/>
  <c r="J8" i="2" s="1"/>
  <c r="J10" i="2" s="1"/>
  <c r="I7" i="2"/>
  <c r="I8" i="2" s="1"/>
  <c r="I10" i="2" s="1"/>
  <c r="I5" i="1"/>
  <c r="G35" i="1"/>
  <c r="F35" i="1"/>
  <c r="F33" i="1"/>
  <c r="G33" i="1"/>
  <c r="G28" i="1"/>
  <c r="F28" i="1"/>
  <c r="F23" i="1"/>
  <c r="G23" i="1"/>
  <c r="F14" i="1"/>
  <c r="G14" i="1"/>
  <c r="F9" i="1"/>
  <c r="I22" i="1" s="1"/>
  <c r="G9" i="1"/>
  <c r="J6" i="1" s="1"/>
  <c r="J33" i="2" l="1"/>
  <c r="J7" i="1"/>
  <c r="J22" i="1"/>
  <c r="J5" i="1"/>
  <c r="G16" i="1"/>
  <c r="I6" i="1"/>
  <c r="F16" i="1"/>
  <c r="I9" i="1"/>
  <c r="I7" i="1"/>
  <c r="J11" i="2"/>
  <c r="J12" i="2" s="1"/>
  <c r="I11" i="2"/>
  <c r="I12" i="2" s="1"/>
  <c r="J17" i="2" l="1"/>
  <c r="G32" i="2"/>
  <c r="J32" i="2" s="1"/>
  <c r="I17" i="2"/>
  <c r="G26" i="2"/>
  <c r="J26" i="2" s="1"/>
  <c r="M6" i="1"/>
  <c r="M5" i="1"/>
  <c r="M8" i="1" s="1"/>
  <c r="M7" i="1"/>
  <c r="J9" i="1"/>
  <c r="L6" i="1"/>
  <c r="L7" i="1"/>
  <c r="L5" i="1"/>
  <c r="L8" i="1" l="1"/>
</calcChain>
</file>

<file path=xl/sharedStrings.xml><?xml version="1.0" encoding="utf-8"?>
<sst xmlns="http://schemas.openxmlformats.org/spreadsheetml/2006/main" count="220" uniqueCount="148">
  <si>
    <t>Análisis de Razones</t>
  </si>
  <si>
    <t>Razón de Solvencia</t>
  </si>
  <si>
    <t>El promedio de la Industria es de 4.2</t>
  </si>
  <si>
    <t>Año anterior</t>
  </si>
  <si>
    <t>Razón de Prueba Rápida o Ácida</t>
  </si>
  <si>
    <t>El promedio de la Industria es de 2.2</t>
  </si>
  <si>
    <t>Razón de Rotación de Inventario</t>
  </si>
  <si>
    <t>El promedio de la Industria es de 10.9</t>
  </si>
  <si>
    <t>Razón de Días pendientes de cobro</t>
  </si>
  <si>
    <t>El promedio de la Industria es de 36 días</t>
  </si>
  <si>
    <t>Razón de Rotación de Activo Fijo Neto</t>
  </si>
  <si>
    <t>El promedio de la Industria es de 2.8</t>
  </si>
  <si>
    <t>Razón de Rotación de Activo Contable</t>
  </si>
  <si>
    <t>El promedio de la Industria es de 1.8</t>
  </si>
  <si>
    <t>Razón de Endeudamiento</t>
  </si>
  <si>
    <t>El promedio de la Industria es de 36.4%</t>
  </si>
  <si>
    <t>(Capital Total = Deuda+Capital)</t>
  </si>
  <si>
    <t>Razón de Cobertura de Intereses</t>
  </si>
  <si>
    <t>El promedio de la Industria es de 6.0</t>
  </si>
  <si>
    <t>Margen de Operación</t>
  </si>
  <si>
    <t>El promedio de la Industria es de 10%</t>
  </si>
  <si>
    <t>Margen de Utilidad Neto</t>
  </si>
  <si>
    <t>El promedio de la Industria es de 5%</t>
  </si>
  <si>
    <t>Rendimiento sobre Activo Contable - ROA</t>
  </si>
  <si>
    <t>El promedio de la Industria es de 9%</t>
  </si>
  <si>
    <t>Rendimiento del Capital Común - ROE</t>
  </si>
  <si>
    <t>El promedio de la Industria es de 15%</t>
  </si>
  <si>
    <t>Rendimiento del Capital Invertido - ROIC</t>
  </si>
  <si>
    <t>El promedio de la Industria es de 10.8%</t>
  </si>
  <si>
    <t>Ejercicio Rápido</t>
  </si>
  <si>
    <t>Ventas</t>
  </si>
  <si>
    <t>Ingreso Neto</t>
  </si>
  <si>
    <t>Activo Contable</t>
  </si>
  <si>
    <t>ES UNA SIMPLIFICACIÓN YA QUE NO HAY OTROS PASIVOS</t>
  </si>
  <si>
    <t>Capital Común</t>
  </si>
  <si>
    <t>Deuda generadora de Intereses</t>
  </si>
  <si>
    <t>Tasa de Interés sobre Deuda</t>
  </si>
  <si>
    <t>Tasa Impositiva</t>
  </si>
  <si>
    <t>ROA</t>
  </si>
  <si>
    <t>ROE</t>
  </si>
  <si>
    <t>ROIC</t>
  </si>
  <si>
    <t>EBIT*(1-TAX)/(CAPITAL+DEUDA)</t>
  </si>
  <si>
    <t>EBIT = EBT + INTERESES</t>
  </si>
  <si>
    <t>EBT = INGRESO NETO / (1 - TAX)</t>
  </si>
  <si>
    <t>INTERESES = TASA * DEUDA</t>
  </si>
  <si>
    <t>¿Qué implicaría una menor razón de deuda sobre el ROA?</t>
  </si>
  <si>
    <t>Menos deuda, menos intereses</t>
  </si>
  <si>
    <t>Menos Intereses, mayor Ingreso Neto</t>
  </si>
  <si>
    <t>Mayor Ingreso Neto, Mayor ROA</t>
  </si>
  <si>
    <t>Razón de Rentabilidad Básica - BEP</t>
  </si>
  <si>
    <t>El promedio de la Industria es de 18%</t>
  </si>
  <si>
    <t>(EBIT / Activo Contable)</t>
  </si>
  <si>
    <t>Razón Precio / Ganancias</t>
  </si>
  <si>
    <t>El promedio de la Industria es de 11.3</t>
  </si>
  <si>
    <t>PEG</t>
  </si>
  <si>
    <t>(P/E) / Tasa de Crecimiento</t>
  </si>
  <si>
    <t>Precio</t>
  </si>
  <si>
    <t>Pueden modificar los valores y ver cómo afecta al PEG</t>
  </si>
  <si>
    <t>Ganancias</t>
  </si>
  <si>
    <t>Crecimiento esperado</t>
  </si>
  <si>
    <t>Razón de Valor de la Empresa/EBITDA</t>
  </si>
  <si>
    <t>El promedio de la Industria es de 9.2</t>
  </si>
  <si>
    <t>Año 2017</t>
  </si>
  <si>
    <t>Valor de Empresa</t>
  </si>
  <si>
    <t>EBITDA</t>
  </si>
  <si>
    <t>INGRESO NETO</t>
  </si>
  <si>
    <t>=</t>
  </si>
  <si>
    <t>CAPITAL COMÚN</t>
  </si>
  <si>
    <t>x</t>
  </si>
  <si>
    <t>ACTIVO CONTABLE</t>
  </si>
  <si>
    <t>VENTAS</t>
  </si>
  <si>
    <t>MARGEN DE UTILIDAD</t>
  </si>
  <si>
    <t>ROTACIÓN DEL ACTIVO</t>
  </si>
  <si>
    <t>MULTIPL. DEL CAPITAL</t>
  </si>
  <si>
    <t>Empresa NO Apalancada</t>
  </si>
  <si>
    <t>Empresa Apalancada</t>
  </si>
  <si>
    <t>Activo Circulante</t>
  </si>
  <si>
    <t>Deuda</t>
  </si>
  <si>
    <t>Activo Fijo</t>
  </si>
  <si>
    <t>Pasivo Contable + Capital</t>
  </si>
  <si>
    <t>Mercado</t>
  </si>
  <si>
    <t>Bueno</t>
  </si>
  <si>
    <t>Esperado</t>
  </si>
  <si>
    <t>Malo</t>
  </si>
  <si>
    <t>Costos de Operación</t>
  </si>
  <si>
    <t>Fijos</t>
  </si>
  <si>
    <t>Variables</t>
  </si>
  <si>
    <t>Totales</t>
  </si>
  <si>
    <t>Ingreso de Operaciones (EBIT)</t>
  </si>
  <si>
    <t>Intereses (Tasa 10%)</t>
  </si>
  <si>
    <t>Ganancias antes de Impuestos (EBT)</t>
  </si>
  <si>
    <t>Tax 40%</t>
  </si>
  <si>
    <t>Se asume que no hay recupero de impuestos</t>
  </si>
  <si>
    <t>Ingreso Neto (NI)</t>
  </si>
  <si>
    <t>Composición Activo Circulante</t>
  </si>
  <si>
    <t>Sobre Activo Contable</t>
  </si>
  <si>
    <t>Activos</t>
  </si>
  <si>
    <t>Efectivo y Equivalentes</t>
  </si>
  <si>
    <t>Cuentas por Cobrar</t>
  </si>
  <si>
    <t>Inventarios</t>
  </si>
  <si>
    <t>Efectivo Excedente</t>
  </si>
  <si>
    <t>Activo Circulante Total</t>
  </si>
  <si>
    <t>Activo Fijo Neto</t>
  </si>
  <si>
    <t>Planta y Equipo Netos de depreciación</t>
  </si>
  <si>
    <t>Otros Activos LP</t>
  </si>
  <si>
    <t>Activo Fijo Total</t>
  </si>
  <si>
    <t>Pasivos y Capital</t>
  </si>
  <si>
    <t>Pasivo Circulante</t>
  </si>
  <si>
    <t>Cuentas por Pagar</t>
  </si>
  <si>
    <t>Capital de Trabajo Neto</t>
  </si>
  <si>
    <t>Acumulaciones</t>
  </si>
  <si>
    <t>Activo Circulante - Pasivo Circulante</t>
  </si>
  <si>
    <t>Obligaciones por Pagar</t>
  </si>
  <si>
    <t>Aumenta</t>
  </si>
  <si>
    <t>Pasivo Circulante Total</t>
  </si>
  <si>
    <t>Capital Operativo Neto</t>
  </si>
  <si>
    <t>Deuda a Largo Plazo</t>
  </si>
  <si>
    <t>Activo Circ. Oper - Pasivo Circ. Oper.</t>
  </si>
  <si>
    <t>Bonos a LP</t>
  </si>
  <si>
    <t>Pasivo Contable</t>
  </si>
  <si>
    <t>Pasivo Remunerado</t>
  </si>
  <si>
    <t>Capital Contable</t>
  </si>
  <si>
    <t>Cantidad</t>
  </si>
  <si>
    <t>Aumenta pero …</t>
  </si>
  <si>
    <t>Acciones Comunes</t>
  </si>
  <si>
    <t>Ganancias Retenidas</t>
  </si>
  <si>
    <t>Capital Contable Total</t>
  </si>
  <si>
    <t>Valor Contable por Acción</t>
  </si>
  <si>
    <t>Pasivos y Capital Totales</t>
  </si>
  <si>
    <t>Ventas Netas</t>
  </si>
  <si>
    <t>Costos de operación (excl. Depreciación y Amortiz.)</t>
  </si>
  <si>
    <t>Depreciación y Amortización</t>
  </si>
  <si>
    <t>Costos de Operación totales</t>
  </si>
  <si>
    <t>Ingreso de operaciones, Ganancias antes de int. e Imp. (EBIT)</t>
  </si>
  <si>
    <t>EBIT aumenta</t>
  </si>
  <si>
    <t>Menos intereses</t>
  </si>
  <si>
    <t>EBT disminuye</t>
  </si>
  <si>
    <t>Impuestos (40%)</t>
  </si>
  <si>
    <t>Ingreso neto</t>
  </si>
  <si>
    <t>EBITDA aumenta</t>
  </si>
  <si>
    <t>Dividendos totales</t>
  </si>
  <si>
    <t>Adición a las Ganancias Retenidas = Ingreso Neto - Dividendos Totales</t>
  </si>
  <si>
    <t>Datos por Acción (50.000.000)</t>
  </si>
  <si>
    <t>Precio de las Acciones Comunes - MERCADO</t>
  </si>
  <si>
    <t>Ganancias por Acción (EPS)</t>
  </si>
  <si>
    <t>Dividendos por Acción (DPS)</t>
  </si>
  <si>
    <t>Valor Contable por Acción (BVPS)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</si>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</sst>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_-;\-* #,##0_-;_-* &quot;-&quot;??_-;_-@_-"/>
    <numFmt numFmtId="166" formatCode="_-* #,##0.0_-;\-* #,##0.0_-;_-* &quot;-&quot;??_-;_-@_-"/>
    <numFmt numFmtId="167" formatCode="0.0%"/>
    <numFmt numFmtId="168" formatCode="0.000"/>
    <numFmt numFmtId="169" formatCode="0.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9">
    <xf numFmtId="0" fontId="0" fillId="0" borderId="0" xfId="0"/>
    <xf numFmtId="165" fontId="0" fillId="0" borderId="0" xfId="1" applyNumberFormat="1" applyFont="1"/>
    <xf numFmtId="165" fontId="0" fillId="0" borderId="1" xfId="1" applyNumberFormat="1" applyFont="1" applyBorder="1"/>
    <xf numFmtId="165" fontId="0" fillId="0" borderId="0" xfId="1" applyNumberFormat="1" applyFont="1" applyBorder="1"/>
    <xf numFmtId="10" fontId="0" fillId="0" borderId="0" xfId="2" applyNumberFormat="1" applyFont="1"/>
    <xf numFmtId="164" fontId="0" fillId="0" borderId="0" xfId="3" applyFont="1"/>
    <xf numFmtId="166" fontId="0" fillId="0" borderId="0" xfId="1" applyNumberFormat="1" applyFont="1"/>
    <xf numFmtId="43" fontId="0" fillId="0" borderId="0" xfId="1" applyFont="1"/>
    <xf numFmtId="2" fontId="0" fillId="0" borderId="0" xfId="0" applyNumberFormat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3" fontId="0" fillId="0" borderId="0" xfId="0" applyNumberFormat="1"/>
    <xf numFmtId="167" fontId="0" fillId="0" borderId="0" xfId="2" applyNumberFormat="1" applyFont="1"/>
    <xf numFmtId="165" fontId="0" fillId="0" borderId="0" xfId="1" applyNumberFormat="1" applyFont="1" applyAlignment="1">
      <alignment horizontal="center"/>
    </xf>
    <xf numFmtId="10" fontId="0" fillId="0" borderId="1" xfId="2" applyNumberFormat="1" applyFont="1" applyBorder="1"/>
    <xf numFmtId="10" fontId="0" fillId="0" borderId="0" xfId="0" applyNumberFormat="1"/>
    <xf numFmtId="166" fontId="0" fillId="0" borderId="0" xfId="0" applyNumberFormat="1"/>
    <xf numFmtId="166" fontId="0" fillId="0" borderId="1" xfId="1" applyNumberFormat="1" applyFont="1" applyBorder="1"/>
    <xf numFmtId="168" fontId="0" fillId="0" borderId="0" xfId="0" applyNumberFormat="1"/>
    <xf numFmtId="169" fontId="0" fillId="0" borderId="0" xfId="0" applyNumberFormat="1"/>
    <xf numFmtId="167" fontId="0" fillId="2" borderId="0" xfId="2" applyNumberFormat="1" applyFont="1" applyFill="1"/>
    <xf numFmtId="0" fontId="0" fillId="3" borderId="0" xfId="0" applyFill="1"/>
    <xf numFmtId="0" fontId="0" fillId="0" borderId="3" xfId="0" applyBorder="1"/>
    <xf numFmtId="0" fontId="0" fillId="0" borderId="5" xfId="0" applyBorder="1"/>
    <xf numFmtId="0" fontId="0" fillId="0" borderId="2" xfId="0" applyBorder="1"/>
    <xf numFmtId="0" fontId="0" fillId="4" borderId="0" xfId="0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4" xfId="0" applyBorder="1"/>
    <xf numFmtId="0" fontId="0" fillId="0" borderId="10" xfId="0" applyBorder="1"/>
    <xf numFmtId="0" fontId="2" fillId="0" borderId="0" xfId="0" applyFont="1"/>
    <xf numFmtId="0" fontId="0" fillId="5" borderId="9" xfId="0" applyFill="1" applyBorder="1"/>
    <xf numFmtId="0" fontId="0" fillId="5" borderId="14" xfId="0" applyFill="1" applyBorder="1"/>
    <xf numFmtId="0" fontId="0" fillId="0" borderId="12" xfId="0" applyBorder="1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9" xfId="0" applyBorder="1"/>
    <xf numFmtId="0" fontId="0" fillId="0" borderId="14" xfId="0" applyBorder="1"/>
    <xf numFmtId="2" fontId="0" fillId="0" borderId="14" xfId="0" applyNumberFormat="1" applyBorder="1"/>
    <xf numFmtId="43" fontId="0" fillId="6" borderId="0" xfId="0" applyNumberFormat="1" applyFill="1"/>
    <xf numFmtId="0" fontId="0" fillId="6" borderId="12" xfId="0" applyFill="1" applyBorder="1"/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7</xdr:row>
      <xdr:rowOff>133350</xdr:rowOff>
    </xdr:from>
    <xdr:to>
      <xdr:col>11</xdr:col>
      <xdr:colOff>161925</xdr:colOff>
      <xdr:row>8</xdr:row>
      <xdr:rowOff>133350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B9ED72DA-9129-388E-D02B-ADC4EB49759E}"/>
            </a:ext>
          </a:extLst>
        </xdr:cNvPr>
        <xdr:cNvCxnSpPr/>
      </xdr:nvCxnSpPr>
      <xdr:spPr>
        <a:xfrm flipV="1">
          <a:off x="8362950" y="1495425"/>
          <a:ext cx="19621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C91F-AE41-48E4-A669-27B7E7ECCC0B}">
  <dimension ref="A1:J91"/>
  <sheetViews>
    <sheetView tabSelected="1" workbookViewId="0"/>
  </sheetViews>
  <sheetFormatPr defaultColWidth="11.42578125" defaultRowHeight="15"/>
  <cols>
    <col min="6" max="6" width="17.140625" customWidth="1"/>
  </cols>
  <sheetData>
    <row r="1" spans="1:8">
      <c r="A1" t="s">
        <v>0</v>
      </c>
    </row>
    <row r="4" spans="1:8">
      <c r="D4" t="s">
        <v>1</v>
      </c>
      <c r="G4" s="19">
        <f>+Balance!F9/Balance!F23</f>
        <v>3.225806451612903</v>
      </c>
      <c r="H4" t="s">
        <v>2</v>
      </c>
    </row>
    <row r="5" spans="1:8">
      <c r="G5" s="19">
        <f>+Balance!G9/Balance!G23</f>
        <v>3.6818181818181817</v>
      </c>
      <c r="H5" t="s">
        <v>3</v>
      </c>
    </row>
    <row r="8" spans="1:8">
      <c r="D8" t="s">
        <v>4</v>
      </c>
      <c r="G8" s="20">
        <f>+(Balance!F9-Balance!F7)/Balance!F23</f>
        <v>1.2419354838709677</v>
      </c>
      <c r="H8" t="s">
        <v>5</v>
      </c>
    </row>
    <row r="9" spans="1:8">
      <c r="G9" s="20">
        <f>+(Balance!G9-Balance!G7)/Balance!G23</f>
        <v>1.7954545454545454</v>
      </c>
      <c r="H9" t="s">
        <v>3</v>
      </c>
    </row>
    <row r="11" spans="1:8">
      <c r="D11" t="s">
        <v>6</v>
      </c>
      <c r="G11" s="20">
        <f>+'Estado de Resultados'!I4/Balance!F7</f>
        <v>4.8780487804878048</v>
      </c>
      <c r="H11" t="s">
        <v>7</v>
      </c>
    </row>
    <row r="12" spans="1:8">
      <c r="G12" s="20">
        <f>+'Estado de Resultados'!J4/Balance!G7</f>
        <v>6.8674698795180724</v>
      </c>
      <c r="H12" t="s">
        <v>3</v>
      </c>
    </row>
    <row r="14" spans="1:8">
      <c r="G14" s="20"/>
    </row>
    <row r="15" spans="1:8">
      <c r="D15" t="s">
        <v>8</v>
      </c>
      <c r="G15" s="20">
        <f>+Balance!F6/('Estado de Resultados'!I4/365)</f>
        <v>45.624999999999993</v>
      </c>
      <c r="H15" t="s">
        <v>9</v>
      </c>
    </row>
    <row r="16" spans="1:8">
      <c r="G16" s="20">
        <f>+Balance!G6/('Estado de Resultados'!J4/365)</f>
        <v>40.342105263157897</v>
      </c>
      <c r="H16" t="s">
        <v>3</v>
      </c>
    </row>
    <row r="18" spans="4:8">
      <c r="D18" t="s">
        <v>10</v>
      </c>
      <c r="G18" s="20">
        <f>+'Estado de Resultados'!I4/Balance!F14</f>
        <v>3</v>
      </c>
      <c r="H18" t="s">
        <v>11</v>
      </c>
    </row>
    <row r="19" spans="4:8">
      <c r="G19" s="20">
        <f>+'Estado de Resultados'!J4/Balance!G14</f>
        <v>3.2758620689655173</v>
      </c>
      <c r="H19" t="s">
        <v>3</v>
      </c>
    </row>
    <row r="21" spans="4:8">
      <c r="D21" t="s">
        <v>12</v>
      </c>
      <c r="G21" s="20">
        <f>+'Estado de Resultados'!I4/Balance!F16</f>
        <v>1.5</v>
      </c>
      <c r="H21" t="s">
        <v>13</v>
      </c>
    </row>
    <row r="22" spans="4:8">
      <c r="G22" s="20">
        <f>+'Estado de Resultados'!J4/Balance!G16</f>
        <v>1.6964285714285714</v>
      </c>
      <c r="H22" t="s">
        <v>3</v>
      </c>
    </row>
    <row r="24" spans="4:8">
      <c r="D24" t="s">
        <v>14</v>
      </c>
      <c r="G24" s="13">
        <f>+(Balance!F22+Balance!F26)/(Balance!F22+Balance!F26+Balance!F33)</f>
        <v>0.4777777777777778</v>
      </c>
      <c r="H24" t="s">
        <v>15</v>
      </c>
    </row>
    <row r="25" spans="4:8">
      <c r="D25" t="s">
        <v>16</v>
      </c>
      <c r="G25" s="13">
        <f>+(Balance!G22+Balance!G26)/(Balance!G22+Balance!G26+Balance!G33)</f>
        <v>0.42105263157894735</v>
      </c>
      <c r="H25" t="s">
        <v>3</v>
      </c>
    </row>
    <row r="27" spans="4:8">
      <c r="D27" t="s">
        <v>17</v>
      </c>
      <c r="G27" s="20">
        <f>+'Estado de Resultados'!I8/'Estado de Resultados'!I9</f>
        <v>3.2250000000000019</v>
      </c>
      <c r="H27" t="s">
        <v>18</v>
      </c>
    </row>
    <row r="28" spans="4:8">
      <c r="G28" s="20">
        <f>+'Estado de Resultados'!J8/'Estado de Resultados'!J9</f>
        <v>4.3833333333333337</v>
      </c>
      <c r="H28" t="s">
        <v>3</v>
      </c>
    </row>
    <row r="30" spans="4:8">
      <c r="D30" t="s">
        <v>19</v>
      </c>
      <c r="G30" s="13">
        <f>+'Estado de Resultados'!I8/'Estado de Resultados'!I4</f>
        <v>9.4600000000000059E-2</v>
      </c>
      <c r="H30" t="s">
        <v>20</v>
      </c>
    </row>
    <row r="31" spans="4:8">
      <c r="G31" s="13">
        <f>+'Estado de Resultados'!J8/'Estado de Resultados'!J4</f>
        <v>9.2280701754385963E-2</v>
      </c>
      <c r="H31" t="s">
        <v>3</v>
      </c>
    </row>
    <row r="33" spans="4:8">
      <c r="D33" t="s">
        <v>21</v>
      </c>
      <c r="G33" s="13">
        <f>+'Estado de Resultados'!I12/'Estado de Resultados'!I4</f>
        <v>3.9160000000000035E-2</v>
      </c>
      <c r="H33" t="s">
        <v>22</v>
      </c>
    </row>
    <row r="34" spans="4:8">
      <c r="G34" s="13">
        <f>+'Estado de Resultados'!J12/'Estado de Resultados'!J4</f>
        <v>4.2736842105263156E-2</v>
      </c>
      <c r="H34" t="s">
        <v>3</v>
      </c>
    </row>
    <row r="36" spans="4:8">
      <c r="D36" t="s">
        <v>23</v>
      </c>
      <c r="G36" s="13">
        <f>+'Estado de Resultados'!I12/Balance!F16</f>
        <v>5.8740000000000049E-2</v>
      </c>
      <c r="H36" t="s">
        <v>24</v>
      </c>
    </row>
    <row r="37" spans="4:8">
      <c r="G37" s="13">
        <f>+'Estado de Resultados'!J12/Balance!G16</f>
        <v>7.2499999999999995E-2</v>
      </c>
      <c r="H37" t="s">
        <v>3</v>
      </c>
    </row>
    <row r="39" spans="4:8">
      <c r="D39" t="s">
        <v>25</v>
      </c>
      <c r="G39" s="13">
        <f>+'Estado de Resultados'!I12/Balance!F33</f>
        <v>0.12497872340425543</v>
      </c>
      <c r="H39" t="s">
        <v>26</v>
      </c>
    </row>
    <row r="40" spans="4:8">
      <c r="G40" s="13">
        <f>+'Estado de Resultados'!J12/Balance!G33</f>
        <v>0.1384090909090909</v>
      </c>
      <c r="H40" t="s">
        <v>3</v>
      </c>
    </row>
    <row r="42" spans="4:8">
      <c r="D42" t="s">
        <v>27</v>
      </c>
      <c r="G42" s="13">
        <f>+'Estado de Resultados'!I8*(1-0.4)/(Balance!F33+Balance!F26+Balance!F22)</f>
        <v>9.4600000000000059E-2</v>
      </c>
      <c r="H42" t="s">
        <v>28</v>
      </c>
    </row>
    <row r="43" spans="4:8">
      <c r="G43" s="13">
        <f>+'Estado de Resultados'!J8*(1-0.4)/(Balance!G33+Balance!G26+Balance!G22)</f>
        <v>0.10381578947368419</v>
      </c>
      <c r="H43" t="s">
        <v>3</v>
      </c>
    </row>
    <row r="46" spans="4:8">
      <c r="D46" t="s">
        <v>29</v>
      </c>
    </row>
    <row r="48" spans="4:8">
      <c r="D48" t="s">
        <v>30</v>
      </c>
      <c r="G48" s="1">
        <v>20000</v>
      </c>
    </row>
    <row r="49" spans="4:9" ht="15.75" thickBot="1">
      <c r="D49" t="s">
        <v>31</v>
      </c>
      <c r="G49" s="1">
        <v>1000</v>
      </c>
    </row>
    <row r="50" spans="4:9">
      <c r="D50" t="s">
        <v>32</v>
      </c>
      <c r="G50" s="1">
        <v>10000</v>
      </c>
      <c r="H50" s="47" t="s">
        <v>33</v>
      </c>
      <c r="I50" s="48"/>
    </row>
    <row r="51" spans="4:9">
      <c r="D51" t="s">
        <v>34</v>
      </c>
      <c r="G51" s="1">
        <v>5000</v>
      </c>
      <c r="H51" s="49"/>
      <c r="I51" s="50"/>
    </row>
    <row r="52" spans="4:9" ht="15.75" thickBot="1">
      <c r="D52" t="s">
        <v>35</v>
      </c>
      <c r="G52" s="1">
        <v>5000</v>
      </c>
      <c r="H52" s="51"/>
      <c r="I52" s="52"/>
    </row>
    <row r="53" spans="4:9">
      <c r="D53" t="s">
        <v>36</v>
      </c>
      <c r="G53" s="13">
        <v>0.05</v>
      </c>
    </row>
    <row r="54" spans="4:9">
      <c r="D54" t="s">
        <v>37</v>
      </c>
      <c r="G54" s="13">
        <v>0.4</v>
      </c>
    </row>
    <row r="55" spans="4:9">
      <c r="G55" s="1"/>
    </row>
    <row r="56" spans="4:9">
      <c r="D56" t="s">
        <v>21</v>
      </c>
      <c r="G56" s="13">
        <f>+G49/G48</f>
        <v>0.05</v>
      </c>
    </row>
    <row r="57" spans="4:9">
      <c r="D57" t="s">
        <v>38</v>
      </c>
      <c r="G57" s="13">
        <f>+G49/G50</f>
        <v>0.1</v>
      </c>
    </row>
    <row r="58" spans="4:9">
      <c r="D58" t="s">
        <v>39</v>
      </c>
      <c r="G58" s="13">
        <f>+G49/G51</f>
        <v>0.2</v>
      </c>
    </row>
    <row r="59" spans="4:9">
      <c r="D59" t="s">
        <v>40</v>
      </c>
      <c r="G59" s="13">
        <f>+((G49/(1-G54)+G53*G52)/G50)*(1-G54)</f>
        <v>0.115</v>
      </c>
    </row>
    <row r="61" spans="4:9">
      <c r="E61" t="s">
        <v>41</v>
      </c>
      <c r="G61" s="13">
        <f>+G62*(1-G54)/(G51+G52)</f>
        <v>0.115</v>
      </c>
    </row>
    <row r="62" spans="4:9">
      <c r="E62" t="s">
        <v>42</v>
      </c>
      <c r="G62" s="1">
        <f>+G63+G64</f>
        <v>1916.6666666666667</v>
      </c>
    </row>
    <row r="63" spans="4:9">
      <c r="E63" t="s">
        <v>43</v>
      </c>
      <c r="G63" s="1">
        <f>+G49/(1-G54)</f>
        <v>1666.6666666666667</v>
      </c>
    </row>
    <row r="64" spans="4:9">
      <c r="E64" t="s">
        <v>44</v>
      </c>
      <c r="G64" s="1">
        <f>+G53*G52</f>
        <v>250</v>
      </c>
    </row>
    <row r="65" spans="4:9">
      <c r="G65" s="13"/>
    </row>
    <row r="66" spans="4:9">
      <c r="D66" t="s">
        <v>45</v>
      </c>
    </row>
    <row r="67" spans="4:9">
      <c r="E67" t="s">
        <v>46</v>
      </c>
    </row>
    <row r="68" spans="4:9">
      <c r="E68" t="s">
        <v>47</v>
      </c>
    </row>
    <row r="69" spans="4:9">
      <c r="E69" t="s">
        <v>48</v>
      </c>
    </row>
    <row r="72" spans="4:9">
      <c r="D72" t="s">
        <v>49</v>
      </c>
      <c r="G72" s="13">
        <f>+'Estado de Resultados'!I8/Balance!F16</f>
        <v>0.14190000000000008</v>
      </c>
      <c r="H72" t="s">
        <v>50</v>
      </c>
    </row>
    <row r="73" spans="4:9">
      <c r="D73" t="s">
        <v>51</v>
      </c>
      <c r="G73" s="13">
        <f>+'Estado de Resultados'!J8/Balance!G16</f>
        <v>0.15654761904761905</v>
      </c>
      <c r="H73" t="s">
        <v>3</v>
      </c>
    </row>
    <row r="75" spans="4:9">
      <c r="D75" t="s">
        <v>52</v>
      </c>
      <c r="G75" s="12">
        <f>+'Estado de Resultados'!I20/'Estado de Resultados'!I21</f>
        <v>9.8127659574468069</v>
      </c>
      <c r="H75" t="s">
        <v>53</v>
      </c>
    </row>
    <row r="76" spans="4:9">
      <c r="G76" s="12">
        <f>+'Estado de Resultados'!J20/'Estado de Resultados'!J21</f>
        <v>10.655737704918034</v>
      </c>
      <c r="H76" t="s">
        <v>3</v>
      </c>
    </row>
    <row r="77" spans="4:9" ht="15.75" thickBot="1"/>
    <row r="78" spans="4:9">
      <c r="D78" s="35" t="s">
        <v>54</v>
      </c>
      <c r="E78" s="34"/>
      <c r="F78" s="34"/>
      <c r="G78" s="34"/>
      <c r="H78" s="34"/>
      <c r="I78" s="42"/>
    </row>
    <row r="79" spans="4:9">
      <c r="D79" s="33"/>
      <c r="E79" t="s">
        <v>55</v>
      </c>
      <c r="I79" s="43"/>
    </row>
    <row r="80" spans="4:9">
      <c r="D80" s="33"/>
      <c r="I80" s="43"/>
    </row>
    <row r="81" spans="4:10">
      <c r="D81" s="33"/>
      <c r="E81" t="s">
        <v>56</v>
      </c>
      <c r="G81" s="45">
        <f>+'Estado de Resultados'!I20</f>
        <v>23.06</v>
      </c>
      <c r="I81" s="44">
        <f>+(G81/G82)/G83</f>
        <v>1.4018237082066867</v>
      </c>
      <c r="J81" t="s">
        <v>57</v>
      </c>
    </row>
    <row r="82" spans="4:10">
      <c r="D82" s="33"/>
      <c r="E82" t="s">
        <v>58</v>
      </c>
      <c r="G82" s="45">
        <f>+'Estado de Resultados'!I21</f>
        <v>2.35</v>
      </c>
      <c r="I82" s="43"/>
    </row>
    <row r="83" spans="4:10" ht="15.75" thickBot="1">
      <c r="D83" s="32"/>
      <c r="E83" s="31" t="s">
        <v>59</v>
      </c>
      <c r="F83" s="31"/>
      <c r="G83" s="46">
        <v>7</v>
      </c>
      <c r="H83" s="31"/>
      <c r="I83" s="30"/>
    </row>
    <row r="86" spans="4:10">
      <c r="D86" t="s">
        <v>60</v>
      </c>
      <c r="G86" s="12">
        <f>+G90/G91</f>
        <v>5.2188639916623218</v>
      </c>
      <c r="H86" t="s">
        <v>61</v>
      </c>
    </row>
    <row r="87" spans="4:10">
      <c r="G87" s="12">
        <f>+I90/I91</f>
        <v>5.2691218130311617</v>
      </c>
      <c r="H87" t="s">
        <v>3</v>
      </c>
    </row>
    <row r="89" spans="4:10">
      <c r="I89" s="10" t="s">
        <v>62</v>
      </c>
    </row>
    <row r="90" spans="4:10">
      <c r="D90" t="s">
        <v>63</v>
      </c>
      <c r="G90" s="11">
        <f>+Balance!E31*'Estado de Resultados'!I20+Balance!F22+Balance!F26+0-Balance!F5</f>
        <v>2003</v>
      </c>
      <c r="I90" s="11">
        <f>+Balance!E31*'Estado de Resultados'!J20+Balance!G22+Balance!G26+0-Balance!G5</f>
        <v>1860</v>
      </c>
    </row>
    <row r="91" spans="4:10">
      <c r="D91" t="s">
        <v>64</v>
      </c>
      <c r="G91" s="12">
        <f>+'Estado de Resultados'!I14</f>
        <v>383.80000000000018</v>
      </c>
      <c r="I91" s="12">
        <f>+'Estado de Resultados'!J14</f>
        <v>353</v>
      </c>
    </row>
  </sheetData>
  <mergeCells count="1">
    <mergeCell ref="H50:I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3F87-635B-4679-A302-39FE0107574E}">
  <dimension ref="C3:J14"/>
  <sheetViews>
    <sheetView workbookViewId="0"/>
  </sheetViews>
  <sheetFormatPr defaultColWidth="11.42578125" defaultRowHeight="15"/>
  <cols>
    <col min="4" max="4" width="20" customWidth="1"/>
    <col min="5" max="5" width="8.140625" customWidth="1"/>
    <col min="6" max="6" width="22.42578125" customWidth="1"/>
    <col min="7" max="7" width="9.7109375" customWidth="1"/>
    <col min="8" max="8" width="21.140625" customWidth="1"/>
    <col min="9" max="9" width="7.5703125" customWidth="1"/>
  </cols>
  <sheetData>
    <row r="3" spans="3:10" ht="15.75" thickBot="1">
      <c r="C3" t="s">
        <v>39</v>
      </c>
      <c r="D3" s="39" t="s">
        <v>65</v>
      </c>
      <c r="E3" s="10"/>
      <c r="F3" s="39">
        <f>+'Estado de Resultados'!$I$12</f>
        <v>117.4800000000001</v>
      </c>
      <c r="G3" s="9" t="s">
        <v>66</v>
      </c>
      <c r="H3" s="4">
        <f>+'Estado de Resultados'!I12/Balance!F33</f>
        <v>0.12497872340425543</v>
      </c>
    </row>
    <row r="4" spans="3:10">
      <c r="D4" s="10" t="s">
        <v>67</v>
      </c>
      <c r="E4" s="10"/>
      <c r="F4" s="10">
        <f>+Balance!$F$33</f>
        <v>940</v>
      </c>
      <c r="G4" s="10"/>
    </row>
    <row r="6" spans="3:10" ht="15.75" thickBot="1">
      <c r="D6" s="39" t="s">
        <v>65</v>
      </c>
      <c r="E6" s="10" t="s">
        <v>68</v>
      </c>
      <c r="F6" s="39" t="s">
        <v>69</v>
      </c>
    </row>
    <row r="7" spans="3:10">
      <c r="D7" s="10" t="s">
        <v>69</v>
      </c>
      <c r="E7" s="10"/>
      <c r="F7" s="10" t="s">
        <v>67</v>
      </c>
    </row>
    <row r="9" spans="3:10" ht="15.75" thickBot="1">
      <c r="D9" s="39" t="s">
        <v>65</v>
      </c>
      <c r="E9" s="10" t="s">
        <v>68</v>
      </c>
      <c r="F9" s="39" t="s">
        <v>70</v>
      </c>
      <c r="G9" s="10" t="s">
        <v>68</v>
      </c>
      <c r="H9" s="39" t="s">
        <v>69</v>
      </c>
    </row>
    <row r="10" spans="3:10">
      <c r="D10" s="10" t="s">
        <v>70</v>
      </c>
      <c r="E10" s="10"/>
      <c r="F10" s="10" t="s">
        <v>69</v>
      </c>
      <c r="H10" s="10" t="s">
        <v>67</v>
      </c>
    </row>
    <row r="12" spans="3:10">
      <c r="D12" s="10" t="s">
        <v>71</v>
      </c>
      <c r="F12" s="10" t="s">
        <v>72</v>
      </c>
      <c r="H12" t="s">
        <v>73</v>
      </c>
    </row>
    <row r="14" spans="3:10">
      <c r="D14" s="40">
        <f>+'Estado de Resultados'!I12/'Estado de Resultados'!I4</f>
        <v>3.9160000000000035E-2</v>
      </c>
      <c r="E14" s="10" t="s">
        <v>68</v>
      </c>
      <c r="F14" s="41">
        <f>+'Estado de Resultados'!I4/Balance!F16</f>
        <v>1.5</v>
      </c>
      <c r="G14" s="10" t="s">
        <v>68</v>
      </c>
      <c r="H14" s="41">
        <f>+Balance!F16/Balance!F33</f>
        <v>2.1276595744680851</v>
      </c>
      <c r="I14" s="9" t="s">
        <v>66</v>
      </c>
      <c r="J14" s="4">
        <f>+D14*F14*H14</f>
        <v>0.12497872340425543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FC2F-2414-47F9-A4A9-2D6E8F186C4B}">
  <dimension ref="B1:S19"/>
  <sheetViews>
    <sheetView workbookViewId="0"/>
  </sheetViews>
  <sheetFormatPr defaultColWidth="9.140625" defaultRowHeight="15"/>
  <cols>
    <col min="5" max="5" width="5.140625" customWidth="1"/>
    <col min="9" max="9" width="9.140625" customWidth="1"/>
    <col min="14" max="14" width="5.28515625" customWidth="1"/>
  </cols>
  <sheetData>
    <row r="1" spans="2:18">
      <c r="B1" s="36" t="s">
        <v>74</v>
      </c>
      <c r="C1" s="36"/>
      <c r="D1" s="36"/>
      <c r="J1" s="22"/>
      <c r="K1" s="36" t="s">
        <v>75</v>
      </c>
      <c r="L1" s="36"/>
    </row>
    <row r="2" spans="2:18" ht="15.75" thickBot="1">
      <c r="J2" s="22"/>
    </row>
    <row r="3" spans="2:18">
      <c r="B3" s="35" t="s">
        <v>76</v>
      </c>
      <c r="C3" s="34"/>
      <c r="D3" s="34">
        <v>50</v>
      </c>
      <c r="E3" s="34"/>
      <c r="F3" s="34" t="s">
        <v>77</v>
      </c>
      <c r="G3" s="34"/>
      <c r="H3" s="34"/>
      <c r="I3" s="37">
        <v>0</v>
      </c>
      <c r="J3" s="22"/>
      <c r="K3" s="35" t="s">
        <v>76</v>
      </c>
      <c r="L3" s="34"/>
      <c r="M3" s="34">
        <v>50</v>
      </c>
      <c r="N3" s="34"/>
      <c r="O3" s="34" t="s">
        <v>77</v>
      </c>
      <c r="P3" s="34"/>
      <c r="Q3" s="34"/>
      <c r="R3" s="37">
        <v>50</v>
      </c>
    </row>
    <row r="4" spans="2:18">
      <c r="B4" s="33" t="s">
        <v>78</v>
      </c>
      <c r="D4">
        <v>50</v>
      </c>
      <c r="F4" t="s">
        <v>34</v>
      </c>
      <c r="I4" s="38">
        <v>100</v>
      </c>
      <c r="J4" s="22"/>
      <c r="K4" s="33" t="s">
        <v>78</v>
      </c>
      <c r="M4">
        <v>50</v>
      </c>
      <c r="O4" t="s">
        <v>34</v>
      </c>
      <c r="R4" s="38">
        <v>50</v>
      </c>
    </row>
    <row r="5" spans="2:18" ht="15.75" thickBot="1">
      <c r="B5" s="32" t="s">
        <v>32</v>
      </c>
      <c r="C5" s="31"/>
      <c r="D5" s="31">
        <v>100</v>
      </c>
      <c r="E5" s="31"/>
      <c r="F5" s="31" t="s">
        <v>79</v>
      </c>
      <c r="G5" s="31"/>
      <c r="H5" s="31"/>
      <c r="I5" s="30">
        <v>100</v>
      </c>
      <c r="J5" s="22"/>
      <c r="K5" s="32" t="s">
        <v>32</v>
      </c>
      <c r="L5" s="31"/>
      <c r="M5" s="31">
        <v>100</v>
      </c>
      <c r="N5" s="31"/>
      <c r="O5" s="31" t="s">
        <v>79</v>
      </c>
      <c r="P5" s="31"/>
      <c r="Q5" s="31"/>
      <c r="R5" s="30">
        <v>100</v>
      </c>
    </row>
    <row r="6" spans="2:18" ht="15.75" thickBot="1">
      <c r="J6" s="22"/>
    </row>
    <row r="7" spans="2:18" ht="15.75" thickBot="1">
      <c r="G7" s="53" t="s">
        <v>80</v>
      </c>
      <c r="H7" s="54"/>
      <c r="I7" s="55"/>
      <c r="J7" s="22"/>
      <c r="P7" s="53" t="s">
        <v>80</v>
      </c>
      <c r="Q7" s="54"/>
      <c r="R7" s="55"/>
    </row>
    <row r="8" spans="2:18" ht="15.75" thickBot="1">
      <c r="G8" s="29" t="s">
        <v>81</v>
      </c>
      <c r="H8" s="28" t="s">
        <v>82</v>
      </c>
      <c r="I8" s="27" t="s">
        <v>83</v>
      </c>
      <c r="J8" s="22"/>
      <c r="P8" s="29" t="s">
        <v>81</v>
      </c>
      <c r="Q8" s="28" t="s">
        <v>82</v>
      </c>
      <c r="R8" s="27" t="s">
        <v>83</v>
      </c>
    </row>
    <row r="9" spans="2:18">
      <c r="B9" t="s">
        <v>30</v>
      </c>
      <c r="G9">
        <v>150</v>
      </c>
      <c r="H9">
        <v>100</v>
      </c>
      <c r="I9">
        <v>75</v>
      </c>
      <c r="J9" s="22"/>
      <c r="K9" t="s">
        <v>30</v>
      </c>
      <c r="P9">
        <v>150</v>
      </c>
      <c r="Q9">
        <v>100</v>
      </c>
      <c r="R9">
        <v>75</v>
      </c>
    </row>
    <row r="10" spans="2:18">
      <c r="B10" t="s">
        <v>84</v>
      </c>
      <c r="J10" s="22"/>
      <c r="K10" t="s">
        <v>84</v>
      </c>
    </row>
    <row r="11" spans="2:18">
      <c r="C11" t="s">
        <v>85</v>
      </c>
      <c r="G11">
        <v>45</v>
      </c>
      <c r="H11">
        <v>45</v>
      </c>
      <c r="I11">
        <v>45</v>
      </c>
      <c r="J11" s="22"/>
      <c r="L11" t="s">
        <v>85</v>
      </c>
      <c r="P11">
        <v>45</v>
      </c>
      <c r="Q11">
        <v>45</v>
      </c>
      <c r="R11">
        <v>45</v>
      </c>
    </row>
    <row r="12" spans="2:18">
      <c r="C12" t="s">
        <v>86</v>
      </c>
      <c r="G12">
        <v>60</v>
      </c>
      <c r="H12">
        <v>40</v>
      </c>
      <c r="I12">
        <v>30</v>
      </c>
      <c r="J12" s="22"/>
      <c r="L12" t="s">
        <v>86</v>
      </c>
      <c r="P12">
        <v>60</v>
      </c>
      <c r="Q12">
        <v>40</v>
      </c>
      <c r="R12">
        <v>30</v>
      </c>
    </row>
    <row r="13" spans="2:18" ht="15.75" thickBot="1">
      <c r="C13" t="s">
        <v>87</v>
      </c>
      <c r="G13">
        <f>SUM(G11:G12)</f>
        <v>105</v>
      </c>
      <c r="H13">
        <f>SUM(H11:H12)</f>
        <v>85</v>
      </c>
      <c r="I13">
        <f>SUM(I11:I12)</f>
        <v>75</v>
      </c>
      <c r="J13" s="22"/>
      <c r="L13" t="s">
        <v>87</v>
      </c>
      <c r="P13">
        <f>SUM(P11:P12)</f>
        <v>105</v>
      </c>
      <c r="Q13">
        <f>SUM(Q11:Q12)</f>
        <v>85</v>
      </c>
      <c r="R13">
        <f>SUM(R11:R12)</f>
        <v>75</v>
      </c>
    </row>
    <row r="14" spans="2:18" ht="15.75" thickBot="1">
      <c r="B14" t="s">
        <v>88</v>
      </c>
      <c r="G14" s="25">
        <f>+G9-G13</f>
        <v>45</v>
      </c>
      <c r="H14" s="24">
        <f>+H9-H13</f>
        <v>15</v>
      </c>
      <c r="I14" s="23">
        <f>+I9-I13</f>
        <v>0</v>
      </c>
      <c r="J14" s="22"/>
      <c r="K14" t="s">
        <v>88</v>
      </c>
      <c r="P14" s="25">
        <f>+P9-P13</f>
        <v>45</v>
      </c>
      <c r="Q14" s="24">
        <f>+Q9-Q13</f>
        <v>15</v>
      </c>
      <c r="R14" s="23">
        <f>+R9-R13</f>
        <v>0</v>
      </c>
    </row>
    <row r="15" spans="2:18">
      <c r="B15" t="s">
        <v>89</v>
      </c>
      <c r="G15">
        <v>0</v>
      </c>
      <c r="H15">
        <v>0</v>
      </c>
      <c r="I15">
        <v>0</v>
      </c>
      <c r="J15" s="22"/>
      <c r="K15" t="s">
        <v>89</v>
      </c>
      <c r="P15">
        <v>5</v>
      </c>
      <c r="Q15">
        <v>5</v>
      </c>
      <c r="R15">
        <v>5</v>
      </c>
    </row>
    <row r="16" spans="2:18">
      <c r="B16" t="s">
        <v>90</v>
      </c>
      <c r="G16">
        <f>+G14-G15</f>
        <v>45</v>
      </c>
      <c r="H16">
        <f>+H14-H15</f>
        <v>15</v>
      </c>
      <c r="I16">
        <f>+I14-I15</f>
        <v>0</v>
      </c>
      <c r="J16" s="22"/>
      <c r="K16" t="s">
        <v>90</v>
      </c>
      <c r="P16">
        <f>+P14-P15</f>
        <v>40</v>
      </c>
      <c r="Q16">
        <f>+Q14-Q15</f>
        <v>10</v>
      </c>
      <c r="R16">
        <f>+R14-R15</f>
        <v>-5</v>
      </c>
    </row>
    <row r="17" spans="2:19" ht="15.75" thickBot="1">
      <c r="B17" t="s">
        <v>91</v>
      </c>
      <c r="G17">
        <f>0.4*G16</f>
        <v>18</v>
      </c>
      <c r="H17">
        <f>0.4*H16</f>
        <v>6</v>
      </c>
      <c r="I17">
        <f>0.4*I16</f>
        <v>0</v>
      </c>
      <c r="J17" s="22"/>
      <c r="K17" t="s">
        <v>91</v>
      </c>
      <c r="P17">
        <f>0.4*P16</f>
        <v>16</v>
      </c>
      <c r="Q17">
        <f>0.4*Q16</f>
        <v>4</v>
      </c>
      <c r="R17" s="26">
        <v>0</v>
      </c>
      <c r="S17" t="s">
        <v>92</v>
      </c>
    </row>
    <row r="18" spans="2:19" ht="15.75" thickBot="1">
      <c r="B18" t="s">
        <v>93</v>
      </c>
      <c r="G18" s="25">
        <f>+G16-G17</f>
        <v>27</v>
      </c>
      <c r="H18" s="24">
        <f>+H16-H17</f>
        <v>9</v>
      </c>
      <c r="I18" s="23">
        <f>+I16-I17</f>
        <v>0</v>
      </c>
      <c r="J18" s="22"/>
      <c r="K18" t="s">
        <v>93</v>
      </c>
      <c r="P18" s="25">
        <f>+P16-P17</f>
        <v>24</v>
      </c>
      <c r="Q18" s="24">
        <f>+Q16-Q17</f>
        <v>6</v>
      </c>
      <c r="R18" s="23">
        <f>+R16-R17</f>
        <v>-5</v>
      </c>
    </row>
    <row r="19" spans="2:19">
      <c r="B19" t="s">
        <v>39</v>
      </c>
      <c r="G19" s="21">
        <f>+G18/$I$4</f>
        <v>0.27</v>
      </c>
      <c r="H19" s="21">
        <f>+H18/$I$4</f>
        <v>0.09</v>
      </c>
      <c r="I19" s="21">
        <f>+I18/$I$4</f>
        <v>0</v>
      </c>
      <c r="J19" s="22"/>
      <c r="K19" t="s">
        <v>39</v>
      </c>
      <c r="P19" s="21">
        <f>+P18/$R$4</f>
        <v>0.48</v>
      </c>
      <c r="Q19" s="21">
        <f>+Q18/$R$4</f>
        <v>0.12</v>
      </c>
      <c r="R19" s="21">
        <f>+R18/$R$4</f>
        <v>-0.1</v>
      </c>
    </row>
  </sheetData>
  <mergeCells count="2">
    <mergeCell ref="G7:I7"/>
    <mergeCell ref="P7:R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7FBC-497B-442A-8B1D-6EBA52E70C72}">
  <dimension ref="B1:M36"/>
  <sheetViews>
    <sheetView workbookViewId="0"/>
  </sheetViews>
  <sheetFormatPr defaultColWidth="11.42578125" defaultRowHeight="15"/>
  <cols>
    <col min="4" max="4" width="24.7109375" customWidth="1"/>
    <col min="5" max="5" width="14.140625" bestFit="1" customWidth="1"/>
    <col min="9" max="9" width="16.5703125" customWidth="1"/>
    <col min="10" max="10" width="17" customWidth="1"/>
  </cols>
  <sheetData>
    <row r="1" spans="2:13" ht="15.75" thickBot="1"/>
    <row r="2" spans="2:13" ht="15.75" thickBot="1">
      <c r="F2">
        <v>2018</v>
      </c>
      <c r="G2">
        <v>2017</v>
      </c>
      <c r="I2" s="56" t="s">
        <v>94</v>
      </c>
      <c r="J2" s="57"/>
      <c r="L2" s="56" t="s">
        <v>95</v>
      </c>
      <c r="M2" s="57"/>
    </row>
    <row r="3" spans="2:13">
      <c r="B3" t="s">
        <v>96</v>
      </c>
      <c r="I3">
        <v>2018</v>
      </c>
      <c r="J3">
        <v>2017</v>
      </c>
    </row>
    <row r="4" spans="2:13">
      <c r="C4" t="s">
        <v>76</v>
      </c>
    </row>
    <row r="5" spans="2:13">
      <c r="D5" t="s">
        <v>97</v>
      </c>
      <c r="F5" s="1">
        <v>10</v>
      </c>
      <c r="G5" s="1">
        <v>80</v>
      </c>
      <c r="I5" s="4">
        <f>+F5/F$9</f>
        <v>0.01</v>
      </c>
      <c r="J5" s="4">
        <f t="shared" ref="J5:J7" si="0">+G5/G$9</f>
        <v>9.8765432098765427E-2</v>
      </c>
      <c r="L5" s="4">
        <f t="shared" ref="L5:M7" si="1">+F5/F$16</f>
        <v>5.0000000000000001E-3</v>
      </c>
      <c r="M5" s="4">
        <f t="shared" si="1"/>
        <v>4.7619047619047616E-2</v>
      </c>
    </row>
    <row r="6" spans="2:13">
      <c r="D6" t="s">
        <v>98</v>
      </c>
      <c r="F6" s="1">
        <v>375</v>
      </c>
      <c r="G6" s="1">
        <v>315</v>
      </c>
      <c r="I6" s="4">
        <f t="shared" ref="I6:I7" si="2">+F6/F$9</f>
        <v>0.375</v>
      </c>
      <c r="J6" s="4">
        <f t="shared" si="0"/>
        <v>0.3888888888888889</v>
      </c>
      <c r="L6" s="4">
        <f t="shared" si="1"/>
        <v>0.1875</v>
      </c>
      <c r="M6" s="4">
        <f t="shared" si="1"/>
        <v>0.1875</v>
      </c>
    </row>
    <row r="7" spans="2:13" ht="15.75" thickBot="1">
      <c r="D7" t="s">
        <v>99</v>
      </c>
      <c r="F7" s="1">
        <v>615</v>
      </c>
      <c r="G7" s="1">
        <v>415</v>
      </c>
      <c r="I7" s="4">
        <f t="shared" si="2"/>
        <v>0.61499999999999999</v>
      </c>
      <c r="J7" s="4">
        <f t="shared" si="0"/>
        <v>0.51234567901234573</v>
      </c>
      <c r="L7" s="15">
        <f t="shared" si="1"/>
        <v>0.3075</v>
      </c>
      <c r="M7" s="15">
        <f t="shared" si="1"/>
        <v>0.24702380952380953</v>
      </c>
    </row>
    <row r="8" spans="2:13" ht="15.75" thickTop="1">
      <c r="D8" t="s">
        <v>100</v>
      </c>
      <c r="F8" s="1">
        <v>0</v>
      </c>
      <c r="G8" s="1">
        <v>0</v>
      </c>
      <c r="L8" s="16">
        <f t="shared" ref="L8:M8" si="3">SUM(L5:L7)</f>
        <v>0.5</v>
      </c>
      <c r="M8" s="16">
        <f t="shared" si="3"/>
        <v>0.48214285714285715</v>
      </c>
    </row>
    <row r="9" spans="2:13" ht="15.75" thickBot="1">
      <c r="D9" t="s">
        <v>101</v>
      </c>
      <c r="F9" s="2">
        <f t="shared" ref="F9:G9" si="4">SUM(F5:F8)</f>
        <v>1000</v>
      </c>
      <c r="G9" s="2">
        <f t="shared" si="4"/>
        <v>810</v>
      </c>
      <c r="I9" s="4">
        <f>+F9/F16</f>
        <v>0.5</v>
      </c>
      <c r="J9" s="4">
        <f>+G9/G16</f>
        <v>0.48214285714285715</v>
      </c>
    </row>
    <row r="10" spans="2:13" ht="15.75" thickTop="1">
      <c r="F10" s="3"/>
      <c r="G10" s="3"/>
    </row>
    <row r="11" spans="2:13">
      <c r="C11" t="s">
        <v>102</v>
      </c>
      <c r="F11" s="1"/>
      <c r="G11" s="1"/>
    </row>
    <row r="12" spans="2:13">
      <c r="D12" t="s">
        <v>103</v>
      </c>
      <c r="F12" s="1">
        <v>1000</v>
      </c>
      <c r="G12" s="1">
        <v>870</v>
      </c>
    </row>
    <row r="13" spans="2:13">
      <c r="D13" t="s">
        <v>104</v>
      </c>
      <c r="F13" s="1">
        <v>0</v>
      </c>
      <c r="G13" s="1">
        <v>0</v>
      </c>
    </row>
    <row r="14" spans="2:13" ht="15.75" thickBot="1">
      <c r="D14" t="s">
        <v>105</v>
      </c>
      <c r="F14" s="2">
        <f t="shared" ref="F14:G14" si="5">SUM(F12:F13)</f>
        <v>1000</v>
      </c>
      <c r="G14" s="2">
        <f t="shared" si="5"/>
        <v>870</v>
      </c>
      <c r="I14" s="11"/>
    </row>
    <row r="15" spans="2:13" ht="15.75" thickTop="1">
      <c r="F15" s="1"/>
      <c r="G15" s="1"/>
    </row>
    <row r="16" spans="2:13" ht="15.75" thickBot="1">
      <c r="C16" t="s">
        <v>32</v>
      </c>
      <c r="F16" s="2">
        <f>+F14+F9</f>
        <v>2000</v>
      </c>
      <c r="G16" s="2">
        <f>+G14+G9</f>
        <v>1680</v>
      </c>
    </row>
    <row r="17" spans="2:12" ht="15.75" thickTop="1">
      <c r="F17" s="1"/>
      <c r="G17" s="1"/>
    </row>
    <row r="18" spans="2:12">
      <c r="B18" t="s">
        <v>106</v>
      </c>
      <c r="F18" s="1"/>
      <c r="G18" s="1"/>
    </row>
    <row r="19" spans="2:12" ht="15.75" thickBot="1">
      <c r="C19" t="s">
        <v>107</v>
      </c>
      <c r="F19" s="1"/>
      <c r="G19" s="1"/>
    </row>
    <row r="20" spans="2:12" ht="15.75" thickBot="1">
      <c r="D20" t="s">
        <v>108</v>
      </c>
      <c r="F20" s="1">
        <v>60</v>
      </c>
      <c r="G20" s="1">
        <v>30</v>
      </c>
      <c r="I20" s="56" t="s">
        <v>109</v>
      </c>
      <c r="J20" s="57"/>
    </row>
    <row r="21" spans="2:12">
      <c r="D21" t="s">
        <v>110</v>
      </c>
      <c r="F21" s="1">
        <v>140</v>
      </c>
      <c r="G21" s="1">
        <v>130</v>
      </c>
      <c r="I21" s="54" t="s">
        <v>111</v>
      </c>
      <c r="J21" s="54"/>
    </row>
    <row r="22" spans="2:12">
      <c r="D22" t="s">
        <v>112</v>
      </c>
      <c r="F22" s="1">
        <v>110</v>
      </c>
      <c r="G22" s="1">
        <v>60</v>
      </c>
      <c r="I22" s="11">
        <f>+F9-F23</f>
        <v>690</v>
      </c>
      <c r="J22" s="11">
        <f>+G9-G23</f>
        <v>590</v>
      </c>
      <c r="K22" t="s">
        <v>113</v>
      </c>
      <c r="L22" s="11">
        <f>+I22-J22</f>
        <v>100</v>
      </c>
    </row>
    <row r="23" spans="2:12" ht="15.75" thickBot="1">
      <c r="D23" t="s">
        <v>114</v>
      </c>
      <c r="F23" s="2">
        <f t="shared" ref="F23:G23" si="6">SUM(F20:F22)</f>
        <v>310</v>
      </c>
      <c r="G23" s="2">
        <f t="shared" si="6"/>
        <v>220</v>
      </c>
    </row>
    <row r="24" spans="2:12" ht="16.5" thickTop="1" thickBot="1">
      <c r="F24" s="1"/>
      <c r="G24" s="1"/>
      <c r="I24" s="56" t="s">
        <v>115</v>
      </c>
      <c r="J24" s="57"/>
    </row>
    <row r="25" spans="2:12">
      <c r="C25" t="s">
        <v>116</v>
      </c>
      <c r="F25" s="1"/>
      <c r="G25" s="1"/>
      <c r="I25" s="54" t="s">
        <v>117</v>
      </c>
      <c r="J25" s="54"/>
    </row>
    <row r="26" spans="2:12">
      <c r="D26" t="s">
        <v>118</v>
      </c>
      <c r="F26" s="1">
        <v>750</v>
      </c>
      <c r="G26" s="1">
        <v>580</v>
      </c>
      <c r="I26" s="11">
        <f>+F9-F8-(F23-F22)</f>
        <v>800</v>
      </c>
      <c r="J26" s="11">
        <f>+G9-G8-(G23-G22)</f>
        <v>650</v>
      </c>
      <c r="K26" t="s">
        <v>113</v>
      </c>
      <c r="L26" s="11">
        <f>+I26-J26</f>
        <v>150</v>
      </c>
    </row>
    <row r="27" spans="2:12" ht="15.75" thickBot="1">
      <c r="F27" s="1"/>
      <c r="G27" s="1"/>
    </row>
    <row r="28" spans="2:12" ht="15.75" thickBot="1">
      <c r="C28" t="s">
        <v>119</v>
      </c>
      <c r="F28" s="2">
        <f>+F23+F26</f>
        <v>1060</v>
      </c>
      <c r="G28" s="2">
        <f>+G23+G26</f>
        <v>800</v>
      </c>
      <c r="I28" s="56" t="s">
        <v>120</v>
      </c>
      <c r="J28" s="57"/>
    </row>
    <row r="29" spans="2:12" ht="15.75" thickTop="1">
      <c r="F29" s="1"/>
      <c r="G29" s="1"/>
      <c r="I29" s="54" t="s">
        <v>117</v>
      </c>
      <c r="J29" s="54"/>
    </row>
    <row r="30" spans="2:12">
      <c r="C30" t="s">
        <v>121</v>
      </c>
      <c r="E30" s="10" t="s">
        <v>122</v>
      </c>
      <c r="F30" s="1"/>
      <c r="G30" s="1"/>
      <c r="I30" s="11">
        <f>+F22+F26</f>
        <v>860</v>
      </c>
      <c r="J30" s="11">
        <f>+G22+G26</f>
        <v>640</v>
      </c>
      <c r="K30" t="s">
        <v>123</v>
      </c>
    </row>
    <row r="31" spans="2:12">
      <c r="D31" t="s">
        <v>124</v>
      </c>
      <c r="E31" s="14">
        <v>50</v>
      </c>
      <c r="F31" s="1">
        <v>130</v>
      </c>
      <c r="G31" s="1">
        <v>130</v>
      </c>
      <c r="I31" s="13">
        <f>+I30/F28</f>
        <v>0.81132075471698117</v>
      </c>
      <c r="J31" s="13">
        <f>+J30/G28</f>
        <v>0.8</v>
      </c>
    </row>
    <row r="32" spans="2:12" ht="15.75" thickBot="1">
      <c r="D32" t="s">
        <v>125</v>
      </c>
      <c r="F32" s="1">
        <v>810</v>
      </c>
      <c r="G32" s="1">
        <v>750</v>
      </c>
    </row>
    <row r="33" spans="3:10" ht="15.75" thickBot="1">
      <c r="D33" t="s">
        <v>126</v>
      </c>
      <c r="F33" s="2">
        <f t="shared" ref="F33:G33" si="7">SUM(F31:F32)</f>
        <v>940</v>
      </c>
      <c r="G33" s="2">
        <f t="shared" si="7"/>
        <v>880</v>
      </c>
      <c r="I33" s="56" t="s">
        <v>127</v>
      </c>
      <c r="J33" s="57"/>
    </row>
    <row r="34" spans="3:10" ht="15.75" thickTop="1">
      <c r="F34" s="1"/>
      <c r="G34" s="1"/>
      <c r="I34" s="5">
        <f>+F33/$E$31</f>
        <v>18.8</v>
      </c>
      <c r="J34" s="5">
        <f>+G33/$E$31</f>
        <v>17.600000000000001</v>
      </c>
    </row>
    <row r="35" spans="3:10" ht="15.75" thickBot="1">
      <c r="C35" t="s">
        <v>128</v>
      </c>
      <c r="F35" s="2">
        <f>+F33+F28</f>
        <v>2000</v>
      </c>
      <c r="G35" s="2">
        <f>+G33+G28</f>
        <v>1680</v>
      </c>
    </row>
    <row r="36" spans="3:10" ht="15.75" thickTop="1"/>
  </sheetData>
  <mergeCells count="9">
    <mergeCell ref="L2:M2"/>
    <mergeCell ref="I29:J29"/>
    <mergeCell ref="I33:J33"/>
    <mergeCell ref="I2:J2"/>
    <mergeCell ref="I20:J20"/>
    <mergeCell ref="I21:J21"/>
    <mergeCell ref="I24:J24"/>
    <mergeCell ref="I25:J25"/>
    <mergeCell ref="I28:J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2BD5-5214-4E23-B3DA-CEDE60D8A8A1}">
  <dimension ref="C2:L34"/>
  <sheetViews>
    <sheetView topLeftCell="A3" workbookViewId="0"/>
  </sheetViews>
  <sheetFormatPr defaultColWidth="11.42578125" defaultRowHeight="15"/>
  <sheetData>
    <row r="2" spans="3:12">
      <c r="I2">
        <v>2018</v>
      </c>
      <c r="J2">
        <v>2017</v>
      </c>
    </row>
    <row r="4" spans="3:12">
      <c r="C4" t="s">
        <v>129</v>
      </c>
      <c r="I4" s="6">
        <v>3000</v>
      </c>
      <c r="J4" s="6">
        <v>2850</v>
      </c>
    </row>
    <row r="5" spans="3:12">
      <c r="D5" t="s">
        <v>130</v>
      </c>
      <c r="I5" s="6">
        <v>2616.1999999999998</v>
      </c>
      <c r="J5" s="6">
        <v>2497</v>
      </c>
    </row>
    <row r="6" spans="3:12">
      <c r="D6" t="s">
        <v>131</v>
      </c>
      <c r="I6" s="6">
        <v>100</v>
      </c>
      <c r="J6" s="6">
        <v>90</v>
      </c>
    </row>
    <row r="7" spans="3:12" ht="15.75" thickBot="1">
      <c r="C7" t="s">
        <v>132</v>
      </c>
      <c r="I7" s="18">
        <f>+I6+I5</f>
        <v>2716.2</v>
      </c>
      <c r="J7" s="18">
        <f>+J6+J5</f>
        <v>2587</v>
      </c>
    </row>
    <row r="8" spans="3:12" ht="15.75" thickTop="1">
      <c r="C8" t="s">
        <v>133</v>
      </c>
      <c r="I8" s="6">
        <f>+I4-I7</f>
        <v>283.80000000000018</v>
      </c>
      <c r="J8" s="6">
        <f>+J4-J7</f>
        <v>263</v>
      </c>
      <c r="L8" t="s">
        <v>134</v>
      </c>
    </row>
    <row r="9" spans="3:12" ht="15.75" thickBot="1">
      <c r="D9" t="s">
        <v>135</v>
      </c>
      <c r="I9" s="18">
        <v>88</v>
      </c>
      <c r="J9" s="18">
        <v>60</v>
      </c>
    </row>
    <row r="10" spans="3:12" ht="15.75" thickTop="1">
      <c r="C10" t="s">
        <v>90</v>
      </c>
      <c r="I10" s="6">
        <f>+I8-I9</f>
        <v>195.80000000000018</v>
      </c>
      <c r="J10" s="6">
        <f>+J8-J9</f>
        <v>203</v>
      </c>
      <c r="L10" t="s">
        <v>136</v>
      </c>
    </row>
    <row r="11" spans="3:12" ht="15.75" thickBot="1">
      <c r="D11" t="s">
        <v>137</v>
      </c>
      <c r="I11" s="18">
        <f>+I10*0.4</f>
        <v>78.320000000000078</v>
      </c>
      <c r="J11" s="18">
        <f>+J10*0.4</f>
        <v>81.2</v>
      </c>
    </row>
    <row r="12" spans="3:12" ht="15.75" thickTop="1">
      <c r="C12" t="s">
        <v>138</v>
      </c>
      <c r="I12" s="6">
        <f>+I10-I11</f>
        <v>117.4800000000001</v>
      </c>
      <c r="J12" s="6">
        <f>+J10-J11</f>
        <v>121.8</v>
      </c>
    </row>
    <row r="13" spans="3:12">
      <c r="I13" s="6"/>
      <c r="J13" s="6"/>
    </row>
    <row r="14" spans="3:12">
      <c r="C14" t="s">
        <v>64</v>
      </c>
      <c r="I14" s="6">
        <f>+I8+I6</f>
        <v>383.80000000000018</v>
      </c>
      <c r="J14" s="6">
        <f>+J8+J6</f>
        <v>353</v>
      </c>
      <c r="L14" t="s">
        <v>139</v>
      </c>
    </row>
    <row r="15" spans="3:12">
      <c r="I15" s="6"/>
      <c r="J15" s="6"/>
    </row>
    <row r="16" spans="3:12">
      <c r="C16" t="s">
        <v>140</v>
      </c>
      <c r="I16" s="7">
        <v>57.5</v>
      </c>
      <c r="J16" s="7">
        <v>53</v>
      </c>
    </row>
    <row r="17" spans="3:10">
      <c r="C17" t="s">
        <v>141</v>
      </c>
      <c r="I17" s="7">
        <f>+I12-I16</f>
        <v>59.980000000000103</v>
      </c>
      <c r="J17" s="7">
        <f>+J12-J16</f>
        <v>68.8</v>
      </c>
    </row>
    <row r="18" spans="3:10">
      <c r="I18" s="7"/>
      <c r="J18" s="7"/>
    </row>
    <row r="19" spans="3:10">
      <c r="C19" t="s">
        <v>142</v>
      </c>
      <c r="F19">
        <v>50</v>
      </c>
      <c r="I19" s="7"/>
      <c r="J19" s="7"/>
    </row>
    <row r="20" spans="3:10">
      <c r="C20" t="s">
        <v>143</v>
      </c>
      <c r="I20" s="7">
        <v>23.06</v>
      </c>
      <c r="J20" s="7">
        <v>26</v>
      </c>
    </row>
    <row r="21" spans="3:10">
      <c r="C21" t="s">
        <v>144</v>
      </c>
      <c r="I21" s="7">
        <v>2.35</v>
      </c>
      <c r="J21" s="7">
        <v>2.44</v>
      </c>
    </row>
    <row r="22" spans="3:10">
      <c r="C22" t="s">
        <v>145</v>
      </c>
      <c r="I22" s="7">
        <v>1.1499999999999999</v>
      </c>
      <c r="J22" s="7">
        <v>1.06</v>
      </c>
    </row>
    <row r="23" spans="3:10">
      <c r="C23" t="s">
        <v>146</v>
      </c>
      <c r="I23" s="7">
        <v>18.8</v>
      </c>
      <c r="J23" s="7">
        <v>17.600000000000001</v>
      </c>
    </row>
    <row r="24" spans="3:10" ht="15.75" thickBot="1"/>
    <row r="25" spans="3:10" ht="15.75" thickBot="1">
      <c r="G25" s="56">
        <v>2018</v>
      </c>
      <c r="H25" s="58"/>
      <c r="I25" s="57"/>
    </row>
    <row r="26" spans="3:10">
      <c r="C26" t="s">
        <v>144</v>
      </c>
      <c r="G26" s="8">
        <f>+I12</f>
        <v>117.4800000000001</v>
      </c>
      <c r="H26" s="9" t="s">
        <v>147</v>
      </c>
      <c r="I26" s="10">
        <f>+F19</f>
        <v>50</v>
      </c>
      <c r="J26" s="5">
        <f>+G26/I26</f>
        <v>2.3496000000000019</v>
      </c>
    </row>
    <row r="27" spans="3:10">
      <c r="C27" t="s">
        <v>145</v>
      </c>
      <c r="G27" s="8">
        <f>+I16</f>
        <v>57.5</v>
      </c>
      <c r="H27" s="9" t="s">
        <v>147</v>
      </c>
      <c r="I27" s="10">
        <f>+F19</f>
        <v>50</v>
      </c>
      <c r="J27" s="5">
        <f t="shared" ref="J27:J28" si="0">+G27/I27</f>
        <v>1.1499999999999999</v>
      </c>
    </row>
    <row r="28" spans="3:10">
      <c r="C28" t="s">
        <v>146</v>
      </c>
      <c r="G28" s="8">
        <f>+Balance!F33</f>
        <v>940</v>
      </c>
      <c r="H28" s="9" t="s">
        <v>147</v>
      </c>
      <c r="I28" s="10">
        <f>+F19</f>
        <v>50</v>
      </c>
      <c r="J28" s="5">
        <f t="shared" si="0"/>
        <v>18.8</v>
      </c>
    </row>
    <row r="30" spans="3:10" ht="15.75" thickBot="1"/>
    <row r="31" spans="3:10" ht="15.75" thickBot="1">
      <c r="G31" s="56">
        <v>2017</v>
      </c>
      <c r="H31" s="58"/>
      <c r="I31" s="57"/>
    </row>
    <row r="32" spans="3:10">
      <c r="C32" t="s">
        <v>144</v>
      </c>
      <c r="F32" s="17"/>
      <c r="G32" s="17">
        <f>+J12</f>
        <v>121.8</v>
      </c>
      <c r="H32" s="9" t="s">
        <v>147</v>
      </c>
      <c r="I32" s="10">
        <f>+F19</f>
        <v>50</v>
      </c>
      <c r="J32" s="5">
        <f>+G32/I32</f>
        <v>2.4359999999999999</v>
      </c>
    </row>
    <row r="33" spans="3:10">
      <c r="C33" t="s">
        <v>145</v>
      </c>
      <c r="F33" s="12"/>
      <c r="G33" s="12">
        <f>+J16</f>
        <v>53</v>
      </c>
      <c r="H33" s="9" t="s">
        <v>147</v>
      </c>
      <c r="I33" s="10">
        <f>+I32</f>
        <v>50</v>
      </c>
      <c r="J33" s="5">
        <f t="shared" ref="J33" si="1">+G33/I33</f>
        <v>1.06</v>
      </c>
    </row>
    <row r="34" spans="3:10">
      <c r="C34" t="s">
        <v>146</v>
      </c>
      <c r="G34">
        <f>+Balance!G33</f>
        <v>880</v>
      </c>
      <c r="H34" s="9" t="s">
        <v>147</v>
      </c>
      <c r="I34" s="10">
        <f>+I33</f>
        <v>50</v>
      </c>
      <c r="J34" s="5">
        <f>+G34/I34</f>
        <v>17.600000000000001</v>
      </c>
    </row>
  </sheetData>
  <mergeCells count="2">
    <mergeCell ref="G25:I25"/>
    <mergeCell ref="G31:I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668E3FE9A3174EAF1AA80B147CEE15" ma:contentTypeVersion="4" ma:contentTypeDescription="Crear nuevo documento." ma:contentTypeScope="" ma:versionID="d29dfd9a9a7666034e5ad4f5ee96d9e6">
  <xsd:schema xmlns:xsd="http://www.w3.org/2001/XMLSchema" xmlns:xs="http://www.w3.org/2001/XMLSchema" xmlns:p="http://schemas.microsoft.com/office/2006/metadata/properties" xmlns:ns2="e0a2096b-51a3-4c59-a6bd-c7f798262ca8" targetNamespace="http://schemas.microsoft.com/office/2006/metadata/properties" ma:root="true" ma:fieldsID="bfc5d357d775e068c7ede3c89a10d3d3" ns2:_="">
    <xsd:import namespace="e0a2096b-51a3-4c59-a6bd-c7f798262c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2096b-51a3-4c59-a6bd-c7f798262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399A72-CD09-4092-8BFE-E5E21166E285}"/>
</file>

<file path=customXml/itemProps2.xml><?xml version="1.0" encoding="utf-8"?>
<ds:datastoreItem xmlns:ds="http://schemas.openxmlformats.org/officeDocument/2006/customXml" ds:itemID="{35CDB21F-C59B-48AA-8E2D-C64B0E8568AE}"/>
</file>

<file path=customXml/itemProps3.xml><?xml version="1.0" encoding="utf-8"?>
<ds:datastoreItem xmlns:ds="http://schemas.openxmlformats.org/officeDocument/2006/customXml" ds:itemID="{ECC09105-CC62-4217-8FFD-9AC3F3B6E4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</dc:creator>
  <cp:keywords/>
  <dc:description/>
  <cp:lastModifiedBy>Lidia Rosignuolo</cp:lastModifiedBy>
  <cp:revision/>
  <dcterms:created xsi:type="dcterms:W3CDTF">2023-02-08T22:12:31Z</dcterms:created>
  <dcterms:modified xsi:type="dcterms:W3CDTF">2024-05-06T23:14:13Z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0x01010020668E3FE9A3174EAF1AA80B147CEE15</vt:lpwstr>
  </property>
</Properties>
</file>