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ro Modelo" sheetId="1" r:id="rId4"/>
    <sheet state="visible" name="Tablero Funcionando" sheetId="2" r:id="rId5"/>
  </sheets>
  <definedNames/>
  <calcPr/>
  <extLst>
    <ext uri="GoogleSheetsCustomDataVersion2">
      <go:sheetsCustomData xmlns:go="http://customooxmlschemas.google.com/" r:id="rId6" roundtripDataChecksum="yUUJb4Q+BSv/gmavy/NZVYvxRyO5ZlOpxaYU6keewWM="/>
    </ext>
  </extLst>
</workbook>
</file>

<file path=xl/sharedStrings.xml><?xml version="1.0" encoding="utf-8"?>
<sst xmlns="http://schemas.openxmlformats.org/spreadsheetml/2006/main" count="170" uniqueCount="92">
  <si>
    <t xml:space="preserve">Tablero de comando integral PROFERTIL SA           </t>
  </si>
  <si>
    <t>Perspectiva</t>
  </si>
  <si>
    <t>Objetivo estratégico</t>
  </si>
  <si>
    <t>Iniciativa</t>
  </si>
  <si>
    <t>Meta</t>
  </si>
  <si>
    <t>Indicador</t>
  </si>
  <si>
    <t xml:space="preserve">Objetivo ideal </t>
  </si>
  <si>
    <t>Unidad de Medida</t>
  </si>
  <si>
    <t xml:space="preserve">Frecuencia de medición </t>
  </si>
  <si>
    <t>Fórmula / KPI</t>
  </si>
  <si>
    <t>Financiera</t>
  </si>
  <si>
    <t>Diversificar ingresos</t>
  </si>
  <si>
    <t>Exportar hacia el exterior</t>
  </si>
  <si>
    <t>Reducir el riesgo de la dependencia 
del mercado interno</t>
  </si>
  <si>
    <t>Incremento de capital total</t>
  </si>
  <si>
    <t>Porcentaje</t>
  </si>
  <si>
    <t>Semestral</t>
  </si>
  <si>
    <t>Capital actual - Capital inicial)
 / Capital inicial) * 100</t>
  </si>
  <si>
    <t>Aumentar la capacidad productiva</t>
  </si>
  <si>
    <t>Inversión incremental de los socios 
para la construcción de una nueva planta</t>
  </si>
  <si>
    <t>Capacidad para producir al mercado
 interno e internacional</t>
  </si>
  <si>
    <t>Flujo de efectivo disponible</t>
  </si>
  <si>
    <t>1,200,000,000 USD</t>
  </si>
  <si>
    <t>Dólares</t>
  </si>
  <si>
    <t>Por Proyecto</t>
  </si>
  <si>
    <t>(Dólares Disponibles / Dolares 
para la inversión) *100</t>
  </si>
  <si>
    <t>Procesos Internos</t>
  </si>
  <si>
    <t xml:space="preserve">Producir en una capacidad ideal </t>
  </si>
  <si>
    <t>Medición de la capacidad total y
determinar la producción ideal rentable</t>
  </si>
  <si>
    <t>No sufrir una ociosidad productiva</t>
  </si>
  <si>
    <t>Producción ideal de la planta</t>
  </si>
  <si>
    <t>Anual</t>
  </si>
  <si>
    <t>(Producción Unificada total
/ Producción Unificada  ideal) * 100</t>
  </si>
  <si>
    <t>Tener una producción ideal 
por mercado</t>
  </si>
  <si>
    <t>Diversificar la producción por mercado
y determinar la producción ideal para c/u</t>
  </si>
  <si>
    <t>Producción ideal y sin sobrantes</t>
  </si>
  <si>
    <t xml:space="preserve">Producción ideal por fertilizante </t>
  </si>
  <si>
    <t>Toneladas</t>
  </si>
  <si>
    <t>(Producción Real / Producción
 ideal) * 100</t>
  </si>
  <si>
    <t>Capacitación/innovación</t>
  </si>
  <si>
    <t>Comercializar internacionalmente</t>
  </si>
  <si>
    <t>Desarrollo de un nuevo sector de ventas</t>
  </si>
  <si>
    <t>Equipo especializado en comercio internacional</t>
  </si>
  <si>
    <t>Promedio de horas de capacitación
por trabajador</t>
  </si>
  <si>
    <t>Horas</t>
  </si>
  <si>
    <t>(Cant. de horas capacitación total / 
capacidad de hora comercio 
internacional) *100</t>
  </si>
  <si>
    <t>Cliente</t>
  </si>
  <si>
    <t>Cartera internacional</t>
  </si>
  <si>
    <t>Captación de nuevos clientes en Brasil, China, 
EEUU, India e Indonesia a través de un 
equipo especializado</t>
  </si>
  <si>
    <t xml:space="preserve">Aumentar y diversificar la cartera de clientes
</t>
  </si>
  <si>
    <t>Cartera de clientes 
ideal por segmento</t>
  </si>
  <si>
    <t>260 clientes mercado interno
160 clientes mercado internacional</t>
  </si>
  <si>
    <t>Clientes</t>
  </si>
  <si>
    <t>Trimestral</t>
  </si>
  <si>
    <t>(Cantidad de clientes Total /Cantidad 
de clientes del mercado
 interno) *100</t>
  </si>
  <si>
    <t>Rellenar en el espacio verde de 
cada perspectiva el dato 
correspondiente para 
medir en el tablero.</t>
  </si>
  <si>
    <t>X</t>
  </si>
  <si>
    <t>PERSPECTIVA FINANCIERA</t>
  </si>
  <si>
    <t>INCREMENTO DE CAPITAL TOTAL</t>
  </si>
  <si>
    <t xml:space="preserve">Fórmula: </t>
  </si>
  <si>
    <t>Datos</t>
  </si>
  <si>
    <t>Capital Inicial</t>
  </si>
  <si>
    <t>Capital Actual Expresar con 
el número actual sin puntos y
comas)</t>
  </si>
  <si>
    <t>Incremento de Capital (%)</t>
  </si>
  <si>
    <t>Capital Objetivo</t>
  </si>
  <si>
    <t>Objetivo de Incremento
 de Capital (39%)</t>
  </si>
  <si>
    <t>¿Cumple o no 
cumple objetivo?</t>
  </si>
  <si>
    <t>Año 2024</t>
  </si>
  <si>
    <t xml:space="preserve">PERSPECTIVA FINANCIERA </t>
  </si>
  <si>
    <t>FLUJO DE FONDO DISPONIBLE</t>
  </si>
  <si>
    <t>Flujo de fondo disponible
en USD (Expresar con 
el número actual sin puntos y
comas)</t>
  </si>
  <si>
    <t>Flujo de fondo necesario
para la inversión en USD</t>
  </si>
  <si>
    <t>Flujo de fondo que falta</t>
  </si>
  <si>
    <t>Porcentaje de cumplimiento %</t>
  </si>
  <si>
    <t>Procesos Interno</t>
  </si>
  <si>
    <t>% de producción 
unificada actual
(Expresar de 0-100 con %)</t>
  </si>
  <si>
    <t>% de producción 
unificada ideal</t>
  </si>
  <si>
    <t>"Tener una producción ideal 
por mercado"</t>
  </si>
  <si>
    <t>Toneladas UREA producido 
(Expresar con 
el número actual sin puntos y
comas)</t>
  </si>
  <si>
    <t>Toneladas UREA objetivo</t>
  </si>
  <si>
    <t>Objetivo % cumplimiento</t>
  </si>
  <si>
    <t>Horas totales de capacitación</t>
  </si>
  <si>
    <t>Horas de capacitación en 
comercio internacional.</t>
  </si>
  <si>
    <t>Horas de capacitación 
en otras metodologías</t>
  </si>
  <si>
    <t>Horas objetivo de capacitacion
 para comercio internacional</t>
  </si>
  <si>
    <t>Cantidad total de clientes</t>
  </si>
  <si>
    <t xml:space="preserve"> Cantidad de clientes 
del mercado interno</t>
  </si>
  <si>
    <t xml:space="preserve"> Cantidad de clientes 
internacionales</t>
  </si>
  <si>
    <t>Porcentaje de cumplimiento para
 los clientes del mercado interno %</t>
  </si>
  <si>
    <t>Objetivo Clientes Internos</t>
  </si>
  <si>
    <t>Porcentaje de cumplimiento para
 los clientes internacionales %</t>
  </si>
  <si>
    <t>Objetivo Clientes 
internacionales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</si>
</sst>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0.0"/>
      <color theme="1"/>
      <name val="Lora"/>
    </font>
    <font/>
    <font>
      <b/>
      <sz val="12.0"/>
      <color theme="1"/>
      <name val="Lora"/>
    </font>
    <font>
      <sz val="11.0"/>
      <color rgb="FF1D2125"/>
      <name val="Roboto"/>
    </font>
    <font>
      <sz val="8.0"/>
      <color theme="1"/>
      <name val="Arial"/>
    </font>
    <font>
      <b/>
      <color rgb="FF2E2E30"/>
      <name val="Arial"/>
    </font>
    <font>
      <b/>
      <color theme="1"/>
      <name val="Arial"/>
    </font>
    <font>
      <b/>
      <color rgb="FF000000"/>
      <name val="Arial"/>
    </font>
    <font>
      <i/>
      <color theme="1"/>
      <name val="Arial"/>
    </font>
    <font>
      <color rgb="FF000000"/>
      <name val="Arial"/>
    </font>
    <font>
      <sz val="11.0"/>
      <color rgb="FF000000"/>
      <name val="&quot;söhne mono&quot;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2" fillId="0" fontId="2" numFmtId="0" xfId="0" applyBorder="1" applyFont="1"/>
    <xf borderId="3" fillId="0" fontId="4" numFmtId="0" xfId="0" applyBorder="1" applyFont="1"/>
    <xf borderId="0" fillId="2" fontId="5" numFmtId="0" xfId="0" applyAlignment="1" applyFill="1" applyFont="1">
      <alignment horizontal="center"/>
    </xf>
    <xf borderId="1" fillId="3" fontId="5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2" fontId="2" numFmtId="0" xfId="0" applyAlignment="1" applyFont="1">
      <alignment horizontal="center"/>
    </xf>
    <xf borderId="1" fillId="4" fontId="2" numFmtId="0" xfId="0" applyAlignment="1" applyBorder="1" applyFill="1" applyFont="1">
      <alignment horizontal="center"/>
    </xf>
    <xf borderId="1" fillId="0" fontId="2" numFmtId="9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/>
    </xf>
    <xf borderId="1" fillId="4" fontId="6" numFmtId="0" xfId="0" applyAlignment="1" applyBorder="1" applyFont="1">
      <alignment horizontal="center"/>
    </xf>
    <xf borderId="0" fillId="2" fontId="6" numFmtId="0" xfId="0" applyAlignment="1" applyFont="1">
      <alignment horizontal="left"/>
    </xf>
    <xf borderId="1" fillId="0" fontId="7" numFmtId="0" xfId="0" applyAlignment="1" applyBorder="1" applyFont="1">
      <alignment horizontal="center" readingOrder="0"/>
    </xf>
    <xf borderId="0" fillId="0" fontId="8" numFmtId="0" xfId="0" applyFont="1"/>
    <xf borderId="1" fillId="4" fontId="9" numFmtId="0" xfId="0" applyAlignment="1" applyBorder="1" applyFont="1">
      <alignment horizontal="center"/>
    </xf>
    <xf borderId="1" fillId="5" fontId="2" numFmtId="0" xfId="0" applyAlignment="1" applyBorder="1" applyFill="1" applyFont="1">
      <alignment horizontal="center"/>
    </xf>
    <xf borderId="0" fillId="6" fontId="2" numFmtId="0" xfId="0" applyAlignment="1" applyFill="1" applyFont="1">
      <alignment horizontal="center"/>
    </xf>
    <xf borderId="0" fillId="6" fontId="9" numFmtId="0" xfId="0" applyAlignment="1" applyFont="1">
      <alignment horizontal="center"/>
    </xf>
    <xf borderId="1" fillId="3" fontId="10" numFmtId="0" xfId="0" applyAlignment="1" applyBorder="1" applyFont="1">
      <alignment horizontal="center"/>
    </xf>
    <xf borderId="0" fillId="3" fontId="2" numFmtId="0" xfId="0" applyAlignment="1" applyFont="1">
      <alignment horizontal="center"/>
    </xf>
    <xf borderId="1" fillId="3" fontId="11" numFmtId="0" xfId="0" applyAlignment="1" applyBorder="1" applyFont="1">
      <alignment horizontal="center"/>
    </xf>
    <xf borderId="1" fillId="4" fontId="2" numFmtId="3" xfId="0" applyAlignment="1" applyBorder="1" applyFont="1" applyNumberFormat="1">
      <alignment horizontal="center"/>
    </xf>
    <xf borderId="1" fillId="4" fontId="2" numFmtId="9" xfId="0" applyAlignment="1" applyBorder="1" applyFont="1" applyNumberFormat="1">
      <alignment horizontal="center"/>
    </xf>
    <xf borderId="1" fillId="4" fontId="12" numFmtId="0" xfId="0" applyAlignment="1" applyBorder="1" applyFont="1">
      <alignment horizontal="center"/>
    </xf>
    <xf borderId="1" fillId="4" fontId="10" numFmtId="0" xfId="0" applyAlignment="1" applyBorder="1" applyFont="1">
      <alignment horizontal="center"/>
    </xf>
    <xf borderId="0" fillId="4" fontId="9" numFmtId="0" xfId="0" applyAlignment="1" applyFont="1">
      <alignment horizontal="center"/>
    </xf>
    <xf borderId="1" fillId="6" fontId="2" numFmtId="0" xfId="0" applyAlignment="1" applyBorder="1" applyFont="1">
      <alignment horizontal="center"/>
    </xf>
    <xf borderId="1" fillId="7" fontId="9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 vertical="bottom"/>
    </xf>
    <xf borderId="1" fillId="3" fontId="12" numFmtId="0" xfId="0" applyAlignment="1" applyBorder="1" applyFont="1">
      <alignment horizontal="center"/>
    </xf>
    <xf borderId="1" fillId="5" fontId="2" numFmtId="9" xfId="0" applyAlignment="1" applyBorder="1" applyFont="1" applyNumberFormat="1">
      <alignment horizontal="center"/>
    </xf>
    <xf borderId="0" fillId="4" fontId="2" numFmtId="0" xfId="0" applyAlignment="1" applyFont="1">
      <alignment horizontal="center"/>
    </xf>
    <xf borderId="3" fillId="4" fontId="2" numFmtId="0" xfId="0" applyAlignment="1" applyBorder="1" applyFont="1">
      <alignment horizontal="center" vertical="bottom"/>
    </xf>
    <xf borderId="4" fillId="4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4" fontId="13" numFmtId="0" xfId="0" applyAlignment="1" applyBorder="1" applyFont="1">
      <alignment horizontal="left"/>
    </xf>
    <xf borderId="0" fillId="6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15</xdr:row>
      <xdr:rowOff>152400</xdr:rowOff>
    </xdr:from>
    <xdr:ext cx="4762500" cy="47625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14.88"/>
    <col customWidth="1" min="3" max="3" width="25.75"/>
    <col customWidth="1" min="4" max="4" width="36.13"/>
    <col customWidth="1" min="5" max="5" width="30.25"/>
    <col customWidth="1" min="6" max="6" width="24.88"/>
    <col customWidth="1" min="7" max="7" width="26.75"/>
    <col customWidth="1" min="8" max="8" width="17.88"/>
    <col customWidth="1" min="9" max="9" width="23.0"/>
    <col customWidth="1" min="10" max="10" width="26.0"/>
  </cols>
  <sheetData>
    <row r="1" ht="15.75" customHeight="1"/>
    <row r="2" ht="15.75" customHeight="1">
      <c r="B2" s="1"/>
      <c r="C2" s="1"/>
      <c r="D2" s="2"/>
      <c r="E2" s="3"/>
      <c r="F2" s="4" t="s">
        <v>0</v>
      </c>
      <c r="G2" s="2"/>
      <c r="H2" s="5"/>
      <c r="I2" s="6"/>
      <c r="J2" s="1"/>
    </row>
    <row r="3" ht="15.75" customHeight="1">
      <c r="A3" s="7"/>
      <c r="B3" s="8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10"/>
    </row>
    <row r="4" ht="15.75" customHeight="1">
      <c r="A4" s="11"/>
      <c r="B4" s="12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13">
        <v>0.39</v>
      </c>
      <c r="H4" s="3" t="s">
        <v>15</v>
      </c>
      <c r="I4" s="3" t="s">
        <v>16</v>
      </c>
      <c r="J4" s="3" t="s">
        <v>17</v>
      </c>
      <c r="K4" s="10"/>
    </row>
    <row r="5" ht="15.75" customHeight="1">
      <c r="A5" s="11"/>
      <c r="B5" s="12" t="s">
        <v>10</v>
      </c>
      <c r="C5" s="3" t="s">
        <v>18</v>
      </c>
      <c r="D5" s="3" t="s">
        <v>19</v>
      </c>
      <c r="E5" s="3" t="s">
        <v>20</v>
      </c>
      <c r="F5" s="3" t="s">
        <v>21</v>
      </c>
      <c r="G5" s="14" t="s">
        <v>22</v>
      </c>
      <c r="H5" s="3" t="s">
        <v>23</v>
      </c>
      <c r="I5" s="3" t="s">
        <v>24</v>
      </c>
      <c r="J5" s="3" t="s">
        <v>25</v>
      </c>
      <c r="K5" s="10"/>
    </row>
    <row r="6" ht="15.75" customHeight="1">
      <c r="A6" s="11"/>
      <c r="B6" s="15"/>
      <c r="C6" s="3"/>
      <c r="D6" s="3"/>
      <c r="E6" s="3"/>
      <c r="F6" s="3"/>
      <c r="G6" s="3"/>
      <c r="H6" s="3"/>
      <c r="I6" s="3"/>
      <c r="J6" s="3"/>
      <c r="K6" s="10"/>
    </row>
    <row r="7" ht="15.75" customHeight="1">
      <c r="A7" s="11"/>
      <c r="B7" s="12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s="13">
        <v>0.8</v>
      </c>
      <c r="H7" s="3" t="s">
        <v>15</v>
      </c>
      <c r="I7" s="3" t="s">
        <v>31</v>
      </c>
      <c r="J7" s="3" t="s">
        <v>32</v>
      </c>
      <c r="K7" s="10"/>
    </row>
    <row r="8" ht="15.75" customHeight="1">
      <c r="A8" s="11"/>
      <c r="B8" s="12" t="s">
        <v>26</v>
      </c>
      <c r="C8" s="3" t="s">
        <v>33</v>
      </c>
      <c r="D8" s="3" t="s">
        <v>34</v>
      </c>
      <c r="E8" s="3" t="s">
        <v>35</v>
      </c>
      <c r="F8" s="3" t="s">
        <v>36</v>
      </c>
      <c r="G8" s="3">
        <v>1194000.0</v>
      </c>
      <c r="H8" s="3" t="s">
        <v>37</v>
      </c>
      <c r="I8" s="3" t="s">
        <v>31</v>
      </c>
      <c r="J8" s="3" t="s">
        <v>38</v>
      </c>
      <c r="K8" s="10"/>
    </row>
    <row r="9" ht="15.75" customHeight="1">
      <c r="A9" s="11"/>
      <c r="B9" s="15"/>
      <c r="C9" s="3"/>
      <c r="D9" s="3"/>
      <c r="E9" s="3"/>
      <c r="F9" s="3"/>
      <c r="G9" s="3"/>
      <c r="H9" s="3"/>
      <c r="I9" s="3"/>
      <c r="J9" s="3"/>
      <c r="K9" s="10"/>
    </row>
    <row r="10" ht="15.75" customHeight="1">
      <c r="A10" s="11"/>
      <c r="B10" s="16" t="s">
        <v>39</v>
      </c>
      <c r="C10" s="3" t="s">
        <v>40</v>
      </c>
      <c r="D10" s="3" t="s">
        <v>41</v>
      </c>
      <c r="E10" s="3" t="s">
        <v>42</v>
      </c>
      <c r="F10" s="3" t="s">
        <v>43</v>
      </c>
      <c r="G10" s="3">
        <v>50.0</v>
      </c>
      <c r="H10" s="3" t="s">
        <v>44</v>
      </c>
      <c r="I10" s="3" t="s">
        <v>24</v>
      </c>
      <c r="J10" s="3" t="s">
        <v>45</v>
      </c>
      <c r="K10" s="10"/>
    </row>
    <row r="11" ht="15.75" customHeight="1">
      <c r="A11" s="11"/>
      <c r="B11" s="15"/>
      <c r="C11" s="3"/>
      <c r="D11" s="3"/>
      <c r="E11" s="3"/>
      <c r="F11" s="3"/>
      <c r="G11" s="3"/>
      <c r="H11" s="3"/>
      <c r="I11" s="3"/>
      <c r="J11" s="3"/>
      <c r="K11" s="10"/>
    </row>
    <row r="12" ht="39.75" customHeight="1">
      <c r="A12" s="17"/>
      <c r="B12" s="12" t="s">
        <v>46</v>
      </c>
      <c r="C12" s="3" t="s">
        <v>47</v>
      </c>
      <c r="D12" s="3" t="s">
        <v>48</v>
      </c>
      <c r="E12" s="3" t="s">
        <v>49</v>
      </c>
      <c r="F12" s="18" t="s">
        <v>50</v>
      </c>
      <c r="G12" s="3" t="s">
        <v>51</v>
      </c>
      <c r="H12" s="3" t="s">
        <v>52</v>
      </c>
      <c r="I12" s="3" t="s">
        <v>53</v>
      </c>
      <c r="J12" s="3" t="s">
        <v>54</v>
      </c>
      <c r="K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ht="15.75" customHeight="1">
      <c r="A17" s="10"/>
      <c r="B17" s="10"/>
      <c r="C17" s="10"/>
      <c r="D17" s="10"/>
      <c r="E17" s="10"/>
      <c r="F17" s="19"/>
      <c r="G17" s="10"/>
      <c r="H17" s="10"/>
      <c r="I17" s="10"/>
      <c r="J17" s="10"/>
      <c r="K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>
      <c r="A56" s="9" t="s">
        <v>2</v>
      </c>
      <c r="B56" s="9" t="s">
        <v>3</v>
      </c>
      <c r="C56" s="9" t="s">
        <v>4</v>
      </c>
      <c r="D56" s="9" t="s">
        <v>5</v>
      </c>
      <c r="E56" s="9" t="s">
        <v>6</v>
      </c>
      <c r="F56" s="9" t="s">
        <v>7</v>
      </c>
      <c r="G56" s="9" t="s">
        <v>8</v>
      </c>
      <c r="H56" s="9" t="s">
        <v>9</v>
      </c>
    </row>
    <row r="57" ht="15.75" customHeight="1">
      <c r="A57" s="3" t="s">
        <v>11</v>
      </c>
      <c r="B57" s="3" t="s">
        <v>12</v>
      </c>
      <c r="C57" s="3" t="s">
        <v>13</v>
      </c>
      <c r="D57" s="3" t="s">
        <v>14</v>
      </c>
      <c r="E57" s="13">
        <v>0.39</v>
      </c>
      <c r="F57" s="3" t="s">
        <v>15</v>
      </c>
      <c r="G57" s="3" t="s">
        <v>16</v>
      </c>
      <c r="H57" s="3" t="s">
        <v>17</v>
      </c>
    </row>
    <row r="58" ht="15.75" customHeight="1">
      <c r="A58" s="3" t="s">
        <v>18</v>
      </c>
      <c r="B58" s="3" t="s">
        <v>19</v>
      </c>
      <c r="C58" s="3" t="s">
        <v>20</v>
      </c>
      <c r="D58" s="3" t="s">
        <v>21</v>
      </c>
      <c r="E58" s="14" t="s">
        <v>22</v>
      </c>
      <c r="F58" s="3" t="s">
        <v>23</v>
      </c>
      <c r="G58" s="3" t="s">
        <v>24</v>
      </c>
      <c r="H58" s="3" t="s">
        <v>25</v>
      </c>
    </row>
    <row r="59" ht="15.75" customHeight="1">
      <c r="A59" s="3" t="s">
        <v>27</v>
      </c>
      <c r="B59" s="3" t="s">
        <v>28</v>
      </c>
      <c r="C59" s="3" t="s">
        <v>29</v>
      </c>
      <c r="D59" s="3" t="s">
        <v>30</v>
      </c>
      <c r="E59" s="13">
        <v>0.8</v>
      </c>
      <c r="F59" s="3" t="s">
        <v>15</v>
      </c>
      <c r="G59" s="3" t="s">
        <v>31</v>
      </c>
      <c r="H59" s="3" t="s">
        <v>32</v>
      </c>
    </row>
    <row r="60" ht="15.75" customHeight="1">
      <c r="A60" s="3" t="s">
        <v>33</v>
      </c>
      <c r="B60" s="3" t="s">
        <v>34</v>
      </c>
      <c r="C60" s="3" t="s">
        <v>35</v>
      </c>
      <c r="D60" s="3" t="s">
        <v>36</v>
      </c>
      <c r="E60" s="3">
        <v>1194000.0</v>
      </c>
      <c r="F60" s="3" t="s">
        <v>37</v>
      </c>
      <c r="G60" s="3" t="s">
        <v>31</v>
      </c>
      <c r="H60" s="3" t="s">
        <v>38</v>
      </c>
    </row>
    <row r="61" ht="15.75" customHeight="1">
      <c r="A61" s="3" t="s">
        <v>40</v>
      </c>
      <c r="B61" s="3" t="s">
        <v>41</v>
      </c>
      <c r="C61" s="3" t="s">
        <v>42</v>
      </c>
      <c r="D61" s="3" t="s">
        <v>43</v>
      </c>
      <c r="E61" s="3">
        <v>50.0</v>
      </c>
      <c r="F61" s="3" t="s">
        <v>44</v>
      </c>
      <c r="G61" s="3" t="s">
        <v>24</v>
      </c>
      <c r="H61" s="3" t="s">
        <v>45</v>
      </c>
    </row>
    <row r="62" ht="15.75" customHeight="1">
      <c r="A62" s="3" t="s">
        <v>47</v>
      </c>
      <c r="B62" s="3" t="s">
        <v>48</v>
      </c>
      <c r="C62" s="3" t="s">
        <v>49</v>
      </c>
      <c r="D62" s="18" t="s">
        <v>50</v>
      </c>
      <c r="E62" s="3" t="s">
        <v>51</v>
      </c>
      <c r="F62" s="3" t="s">
        <v>52</v>
      </c>
      <c r="G62" s="3" t="s">
        <v>53</v>
      </c>
      <c r="H62" s="3" t="s">
        <v>54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H2:I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75"/>
    <col customWidth="1" min="2" max="2" width="25.0"/>
    <col customWidth="1" min="3" max="3" width="29.5"/>
    <col customWidth="1" min="4" max="4" width="28.0"/>
    <col customWidth="1" min="5" max="5" width="33.13"/>
    <col customWidth="1" min="6" max="6" width="25.63"/>
    <col customWidth="1" min="7" max="7" width="17.5"/>
    <col customWidth="1" min="8" max="8" width="30.75"/>
    <col customWidth="1" min="9" max="9" width="21.38"/>
  </cols>
  <sheetData>
    <row r="1" ht="15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5.75" customHeight="1">
      <c r="A2" s="11"/>
      <c r="B2" s="11"/>
      <c r="C2" s="20" t="s">
        <v>55</v>
      </c>
      <c r="D2" s="21" t="s">
        <v>56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.5" customHeight="1">
      <c r="A3" s="22"/>
      <c r="B3" s="22"/>
      <c r="C3" s="22"/>
      <c r="D3" s="22"/>
      <c r="E3" s="23"/>
      <c r="F3" s="22" t="s">
        <v>56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5.75" customHeight="1">
      <c r="A4" s="24" t="s">
        <v>57</v>
      </c>
      <c r="B4" s="25"/>
      <c r="C4" s="25"/>
      <c r="D4" s="25"/>
      <c r="E4" s="25"/>
      <c r="F4" s="15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5.75" customHeight="1">
      <c r="A5" s="15" t="s">
        <v>58</v>
      </c>
      <c r="B5" s="26"/>
      <c r="C5" s="26"/>
      <c r="D5" s="26" t="s">
        <v>59</v>
      </c>
      <c r="E5" s="15"/>
      <c r="F5" s="15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5.75" customHeight="1">
      <c r="A6" s="20" t="s">
        <v>60</v>
      </c>
      <c r="B6" s="20" t="s">
        <v>61</v>
      </c>
      <c r="C6" s="20" t="s">
        <v>62</v>
      </c>
      <c r="D6" s="20" t="s">
        <v>63</v>
      </c>
      <c r="E6" s="20" t="s">
        <v>64</v>
      </c>
      <c r="F6" s="20" t="s">
        <v>65</v>
      </c>
      <c r="G6" s="20" t="s">
        <v>66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5.75" customHeight="1">
      <c r="A7" s="12" t="s">
        <v>67</v>
      </c>
      <c r="B7" s="27">
        <v>1.0E9</v>
      </c>
      <c r="C7" s="27">
        <v>1.003001011E9</v>
      </c>
      <c r="D7" s="28">
        <v>0.38</v>
      </c>
      <c r="E7" s="12">
        <f>B7 * (1 + F7/100)
</f>
        <v>1390000000</v>
      </c>
      <c r="F7" s="12">
        <v>39.0</v>
      </c>
      <c r="G7" s="12" t="str">
        <f>IF(D7&gt;=F7,"Cumple","No Cumple")
</f>
        <v>No Cumple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5.75" customHeight="1">
      <c r="A8" s="25"/>
      <c r="B8" s="25"/>
      <c r="C8" s="25"/>
      <c r="D8" s="25"/>
      <c r="E8" s="25"/>
      <c r="F8" s="15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15.75" customHeight="1">
      <c r="A9" s="24" t="s">
        <v>68</v>
      </c>
      <c r="B9" s="25"/>
      <c r="C9" s="25"/>
      <c r="D9" s="25"/>
      <c r="E9" s="25"/>
      <c r="F9" s="15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5.75" customHeight="1">
      <c r="A10" s="15" t="s">
        <v>69</v>
      </c>
      <c r="B10" s="15"/>
      <c r="C10" s="15"/>
      <c r="D10" s="26"/>
      <c r="E10" s="15"/>
      <c r="F10" s="15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5.75" customHeight="1">
      <c r="A11" s="29"/>
      <c r="B11" s="30" t="s">
        <v>70</v>
      </c>
      <c r="C11" s="30" t="s">
        <v>71</v>
      </c>
      <c r="D11" s="30" t="s">
        <v>72</v>
      </c>
      <c r="E11" s="31" t="s">
        <v>73</v>
      </c>
      <c r="F11" s="30" t="s">
        <v>66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5.75" customHeight="1">
      <c r="A12" s="12" t="s">
        <v>67</v>
      </c>
      <c r="B12" s="21">
        <f t="shared" ref="B12:C12" si="1">1100000000</f>
        <v>1100000000</v>
      </c>
      <c r="C12" s="12">
        <f t="shared" si="1"/>
        <v>1100000000</v>
      </c>
      <c r="D12" s="12">
        <f>B12-C12</f>
        <v>0</v>
      </c>
      <c r="E12" s="12">
        <f>(B12/C12)*100</f>
        <v>100</v>
      </c>
      <c r="F12" s="12" t="str">
        <f>IF(D12&gt;=100,"Cumple","No Cumple")</f>
        <v>No Cumple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.5" customHeight="1">
      <c r="A13" s="22"/>
      <c r="B13" s="22"/>
      <c r="C13" s="22"/>
      <c r="D13" s="22"/>
      <c r="E13" s="22"/>
      <c r="F13" s="32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customHeight="1">
      <c r="A14" s="33" t="s">
        <v>74</v>
      </c>
      <c r="B14" s="25"/>
      <c r="C14" s="25"/>
      <c r="D14" s="25"/>
      <c r="E14" s="25"/>
      <c r="F14" s="15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customHeight="1">
      <c r="A15" s="15" t="s">
        <v>27</v>
      </c>
      <c r="B15" s="15"/>
      <c r="C15" s="15"/>
      <c r="D15" s="26"/>
      <c r="E15" s="15"/>
      <c r="F15" s="15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customHeight="1">
      <c r="A16" s="34"/>
      <c r="B16" s="31" t="s">
        <v>75</v>
      </c>
      <c r="C16" s="31" t="s">
        <v>76</v>
      </c>
      <c r="D16" s="20" t="s">
        <v>73</v>
      </c>
      <c r="E16" s="30" t="s">
        <v>66</v>
      </c>
      <c r="F16" s="35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customHeight="1">
      <c r="A17" s="12" t="s">
        <v>67</v>
      </c>
      <c r="B17" s="36">
        <v>0.5</v>
      </c>
      <c r="C17" s="28">
        <v>0.8</v>
      </c>
      <c r="D17" s="12">
        <f>B17/C17*100</f>
        <v>62.5</v>
      </c>
      <c r="E17" s="12" t="str">
        <f>IF(B17&gt;=C17,"Cumple","No Cumple")
</f>
        <v>No Cumple</v>
      </c>
      <c r="F17" s="15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.5" customHeight="1">
      <c r="A18" s="22"/>
      <c r="B18" s="22"/>
      <c r="C18" s="22"/>
      <c r="D18" s="22"/>
      <c r="E18" s="22"/>
      <c r="F18" s="32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customHeight="1">
      <c r="A19" s="33" t="s">
        <v>74</v>
      </c>
      <c r="B19" s="25"/>
      <c r="C19" s="25"/>
      <c r="D19" s="25"/>
      <c r="E19" s="25"/>
      <c r="F19" s="15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customHeight="1">
      <c r="A20" s="15" t="s">
        <v>77</v>
      </c>
      <c r="B20" s="15"/>
      <c r="C20" s="15"/>
      <c r="D20" s="26"/>
      <c r="E20" s="15"/>
      <c r="F20" s="15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34"/>
      <c r="B21" s="37" t="s">
        <v>78</v>
      </c>
      <c r="C21" s="12" t="s">
        <v>79</v>
      </c>
      <c r="D21" s="12" t="s">
        <v>73</v>
      </c>
      <c r="E21" s="12" t="s">
        <v>80</v>
      </c>
      <c r="F21" s="29" t="s">
        <v>66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2" t="s">
        <v>67</v>
      </c>
      <c r="B22" s="21">
        <v>119000.0</v>
      </c>
      <c r="C22" s="12">
        <v>1194000.0</v>
      </c>
      <c r="D22" s="12">
        <f>B22/C22*100</f>
        <v>9.966499162</v>
      </c>
      <c r="E22" s="28">
        <v>1.0</v>
      </c>
      <c r="F22" s="12" t="str">
        <f>IF(B22&gt;=C22,"Cumple","No Cumple")
</f>
        <v>No Cumple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3.75" customHeight="1">
      <c r="A23" s="22"/>
      <c r="B23" s="22"/>
      <c r="C23" s="22"/>
      <c r="D23" s="22"/>
      <c r="E23" s="22"/>
      <c r="F23" s="32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33" t="s">
        <v>39</v>
      </c>
      <c r="B24" s="25"/>
      <c r="C24" s="25"/>
      <c r="D24" s="25"/>
      <c r="E24" s="25"/>
      <c r="F24" s="15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5" t="s">
        <v>40</v>
      </c>
      <c r="B25" s="15"/>
      <c r="C25" s="15"/>
      <c r="D25" s="26"/>
      <c r="E25" s="15"/>
      <c r="F25" s="15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34"/>
      <c r="B26" s="37" t="s">
        <v>81</v>
      </c>
      <c r="C26" s="37" t="s">
        <v>82</v>
      </c>
      <c r="D26" s="12" t="s">
        <v>83</v>
      </c>
      <c r="E26" s="29" t="s">
        <v>73</v>
      </c>
      <c r="F26" s="34" t="s">
        <v>84</v>
      </c>
      <c r="G26" s="38" t="s">
        <v>66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2" t="s">
        <v>67</v>
      </c>
      <c r="B27" s="21">
        <v>65.0</v>
      </c>
      <c r="C27" s="21">
        <v>21.0</v>
      </c>
      <c r="D27" s="21">
        <v>12.0</v>
      </c>
      <c r="E27" s="12">
        <f>(C27/B27)*100</f>
        <v>32.30769231</v>
      </c>
      <c r="F27" s="34">
        <v>50.0</v>
      </c>
      <c r="G27" s="39" t="str">
        <f>IF(C27&gt;=F27,"Cumple","No Cumple")
</f>
        <v>No Cumple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2.25" customHeight="1">
      <c r="A28" s="22"/>
      <c r="B28" s="22"/>
      <c r="C28" s="22"/>
      <c r="D28" s="22"/>
      <c r="E28" s="22"/>
      <c r="F28" s="22"/>
      <c r="G28" s="22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33" t="s">
        <v>46</v>
      </c>
      <c r="B29" s="25"/>
      <c r="C29" s="25"/>
      <c r="D29" s="25"/>
      <c r="E29" s="15"/>
      <c r="F29" s="15"/>
      <c r="G29" s="15"/>
      <c r="H29" s="15"/>
      <c r="I29" s="15"/>
      <c r="J29" s="15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5" t="s">
        <v>47</v>
      </c>
      <c r="B30" s="15"/>
      <c r="C30" s="15"/>
      <c r="D30" s="15"/>
      <c r="E30" s="15"/>
      <c r="F30" s="15"/>
      <c r="G30" s="40"/>
      <c r="H30" s="15"/>
      <c r="I30" s="15"/>
      <c r="J30" s="4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5"/>
      <c r="B31" s="12" t="s">
        <v>85</v>
      </c>
      <c r="C31" s="12" t="s">
        <v>86</v>
      </c>
      <c r="D31" s="12" t="s">
        <v>87</v>
      </c>
      <c r="E31" s="12" t="s">
        <v>88</v>
      </c>
      <c r="F31" s="12" t="s">
        <v>89</v>
      </c>
      <c r="G31" s="34" t="s">
        <v>66</v>
      </c>
      <c r="H31" s="12" t="s">
        <v>90</v>
      </c>
      <c r="I31" s="12" t="s">
        <v>91</v>
      </c>
      <c r="J31" s="34" t="s">
        <v>66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2" t="s">
        <v>67</v>
      </c>
      <c r="B32" s="21">
        <v>100.0</v>
      </c>
      <c r="C32" s="21">
        <v>145.0</v>
      </c>
      <c r="D32" s="21">
        <v>34.0</v>
      </c>
      <c r="E32" s="12">
        <f>(C32/F32)*100</f>
        <v>55.76923077</v>
      </c>
      <c r="F32" s="34">
        <v>260.0</v>
      </c>
      <c r="G32" s="12" t="str">
        <f>IF(C32&gt;=F32,"Cumple","No Cumple")
</f>
        <v>No Cumple</v>
      </c>
      <c r="H32" s="41">
        <f>(D32/I32)*100</f>
        <v>22.66666667</v>
      </c>
      <c r="I32" s="12">
        <v>150.0</v>
      </c>
      <c r="J32" s="12" t="str">
        <f>IF(D32&gt;=I32,"Cumple","No Cumple")
</f>
        <v>No Cumple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.5" customHeight="1">
      <c r="A33" s="22"/>
      <c r="B33" s="22"/>
      <c r="C33" s="22"/>
      <c r="D33" s="22"/>
      <c r="E33" s="22"/>
      <c r="F33" s="22"/>
      <c r="G33" s="22"/>
      <c r="H33" s="22"/>
      <c r="I33" s="4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