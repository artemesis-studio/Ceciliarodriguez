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ALIA\UCEMA\PROJECT MANAGEMENT\2023\"/>
    </mc:Choice>
  </mc:AlternateContent>
  <bookViews>
    <workbookView xWindow="240" yWindow="132" windowWidth="20112" windowHeight="6972"/>
  </bookViews>
  <sheets>
    <sheet name="VALOR GANADO" sheetId="1" r:id="rId1"/>
    <sheet name="TCPI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T30" i="1" l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7" i="1"/>
  <c r="T6" i="1"/>
  <c r="N28" i="1"/>
  <c r="L28" i="1" l="1"/>
  <c r="L27" i="1"/>
  <c r="L26" i="1"/>
  <c r="L25" i="1"/>
  <c r="L24" i="1"/>
  <c r="L23" i="1"/>
  <c r="L22" i="1"/>
  <c r="L21" i="1"/>
  <c r="L20" i="1"/>
  <c r="L19" i="1"/>
  <c r="L18" i="1"/>
  <c r="L17" i="1"/>
  <c r="P17" i="1" s="1"/>
  <c r="L16" i="1"/>
  <c r="L14" i="1"/>
  <c r="L12" i="1"/>
  <c r="L10" i="1"/>
  <c r="L9" i="1"/>
  <c r="L8" i="1"/>
  <c r="L6" i="1"/>
  <c r="O8" i="1" l="1"/>
  <c r="P25" i="1"/>
  <c r="N9" i="1"/>
  <c r="P27" i="1"/>
  <c r="O28" i="1"/>
  <c r="V6" i="1"/>
  <c r="N26" i="1"/>
  <c r="O19" i="1"/>
  <c r="O21" i="1"/>
  <c r="O14" i="1"/>
  <c r="P23" i="1"/>
  <c r="P14" i="1"/>
  <c r="O26" i="1"/>
  <c r="P10" i="1"/>
  <c r="P12" i="1"/>
  <c r="P26" i="1"/>
  <c r="L11" i="1"/>
  <c r="P8" i="1"/>
  <c r="L13" i="1"/>
  <c r="Q18" i="1"/>
  <c r="V18" i="1" s="1"/>
  <c r="N18" i="1"/>
  <c r="P18" i="1"/>
  <c r="O18" i="1"/>
  <c r="Q20" i="1"/>
  <c r="V20" i="1" s="1"/>
  <c r="P20" i="1"/>
  <c r="O20" i="1"/>
  <c r="N20" i="1"/>
  <c r="Q9" i="1"/>
  <c r="V9" i="1" s="1"/>
  <c r="P9" i="1"/>
  <c r="O9" i="1"/>
  <c r="L7" i="1"/>
  <c r="D3" i="1"/>
  <c r="Q22" i="1"/>
  <c r="V22" i="1" s="1"/>
  <c r="N22" i="1"/>
  <c r="P22" i="1"/>
  <c r="O22" i="1"/>
  <c r="P6" i="1"/>
  <c r="Q16" i="1"/>
  <c r="V16" i="1" s="1"/>
  <c r="N16" i="1"/>
  <c r="P16" i="1"/>
  <c r="O16" i="1"/>
  <c r="Q24" i="1"/>
  <c r="V24" i="1" s="1"/>
  <c r="P24" i="1"/>
  <c r="P19" i="1"/>
  <c r="Q25" i="1"/>
  <c r="V25" i="1" s="1"/>
  <c r="Q6" i="1"/>
  <c r="Q10" i="1"/>
  <c r="V10" i="1" s="1"/>
  <c r="Q12" i="1"/>
  <c r="V12" i="1" s="1"/>
  <c r="Q14" i="1"/>
  <c r="V14" i="1" s="1"/>
  <c r="Q17" i="1"/>
  <c r="V17" i="1" s="1"/>
  <c r="Q19" i="1"/>
  <c r="V19" i="1" s="1"/>
  <c r="Q21" i="1"/>
  <c r="V21" i="1" s="1"/>
  <c r="Q23" i="1"/>
  <c r="V23" i="1" s="1"/>
  <c r="N24" i="1"/>
  <c r="N25" i="1"/>
  <c r="N27" i="1"/>
  <c r="Q28" i="1"/>
  <c r="V28" i="1" s="1"/>
  <c r="N6" i="1"/>
  <c r="N8" i="1"/>
  <c r="N10" i="1"/>
  <c r="N12" i="1"/>
  <c r="N14" i="1"/>
  <c r="L15" i="1"/>
  <c r="N17" i="1"/>
  <c r="N19" i="1"/>
  <c r="N21" i="1"/>
  <c r="N23" i="1"/>
  <c r="O25" i="1"/>
  <c r="Q26" i="1"/>
  <c r="V26" i="1" s="1"/>
  <c r="O27" i="1"/>
  <c r="L29" i="1"/>
  <c r="P21" i="1"/>
  <c r="Q27" i="1"/>
  <c r="V27" i="1" s="1"/>
  <c r="P28" i="1"/>
  <c r="Q8" i="1"/>
  <c r="O6" i="1"/>
  <c r="O10" i="1"/>
  <c r="O12" i="1"/>
  <c r="O17" i="1"/>
  <c r="O23" i="1"/>
  <c r="L30" i="1"/>
  <c r="T8" i="1" l="1"/>
  <c r="V8" i="1" s="1"/>
  <c r="L3" i="1"/>
  <c r="F5" i="2"/>
  <c r="F10" i="2"/>
  <c r="E6" i="2"/>
  <c r="E10" i="2"/>
  <c r="V15" i="1"/>
  <c r="N15" i="1"/>
  <c r="O15" i="1"/>
  <c r="Q15" i="1"/>
  <c r="P15" i="1"/>
  <c r="O24" i="1"/>
  <c r="O30" i="1"/>
  <c r="Q30" i="1"/>
  <c r="V30" i="1" s="1"/>
  <c r="P30" i="1"/>
  <c r="N30" i="1"/>
  <c r="Q13" i="1"/>
  <c r="V13" i="1" s="1"/>
  <c r="P13" i="1"/>
  <c r="O13" i="1"/>
  <c r="N13" i="1"/>
  <c r="Q11" i="1"/>
  <c r="V11" i="1" s="1"/>
  <c r="O11" i="1"/>
  <c r="P11" i="1"/>
  <c r="N11" i="1"/>
  <c r="N29" i="1"/>
  <c r="Q29" i="1"/>
  <c r="V29" i="1" s="1"/>
  <c r="P29" i="1"/>
  <c r="O29" i="1"/>
  <c r="F3" i="1"/>
  <c r="Q7" i="1"/>
  <c r="O7" i="1"/>
  <c r="P7" i="1"/>
  <c r="N7" i="1"/>
  <c r="J3" i="1"/>
  <c r="T3" i="1" l="1"/>
  <c r="V7" i="1"/>
  <c r="V3" i="1" s="1"/>
  <c r="E11" i="2" s="1"/>
  <c r="F11" i="2"/>
  <c r="F6" i="2"/>
  <c r="H10" i="2" l="1"/>
  <c r="E5" i="2" l="1"/>
  <c r="H5" i="2" s="1"/>
</calcChain>
</file>

<file path=xl/sharedStrings.xml><?xml version="1.0" encoding="utf-8"?>
<sst xmlns="http://schemas.openxmlformats.org/spreadsheetml/2006/main" count="75" uniqueCount="63">
  <si>
    <t>ESTRUCTURA DE DESCOMPOSICIÓN DEL TRABAJO (EDT)</t>
  </si>
  <si>
    <t>BAC</t>
  </si>
  <si>
    <t>PV</t>
  </si>
  <si>
    <t>% avance</t>
  </si>
  <si>
    <t>AC</t>
  </si>
  <si>
    <t>EV</t>
  </si>
  <si>
    <t>SV</t>
  </si>
  <si>
    <t>SPI</t>
  </si>
  <si>
    <t>CV</t>
  </si>
  <si>
    <t>CPI</t>
  </si>
  <si>
    <t>Observaciones</t>
  </si>
  <si>
    <t>ETC</t>
  </si>
  <si>
    <t>EAC</t>
  </si>
  <si>
    <t>PAQUETES</t>
  </si>
  <si>
    <t>ACTIVIDADES</t>
  </si>
  <si>
    <t>Planos</t>
  </si>
  <si>
    <t>Medidas, registro fotográfico y desarrollo de planos</t>
  </si>
  <si>
    <t>Aprobación de planos</t>
  </si>
  <si>
    <t>Contrucción de obra gris</t>
  </si>
  <si>
    <t>Cimientos, contrapiso y piso. Paredes y revoques. Cubierta</t>
  </si>
  <si>
    <t>Sistemas electromecánicos</t>
  </si>
  <si>
    <t>Instalaciones Sanitarias y pluviales</t>
  </si>
  <si>
    <t>Instalaciones Agua potable</t>
  </si>
  <si>
    <t>Instalaciones Eléctrica</t>
  </si>
  <si>
    <t>Instalaciones Tanques sépticos y drenaje</t>
  </si>
  <si>
    <t>Acabados</t>
  </si>
  <si>
    <t>Pintura</t>
  </si>
  <si>
    <t>Ventanería</t>
  </si>
  <si>
    <t>Tabiques divisores, puertas y cerrajería</t>
  </si>
  <si>
    <t>Lamparas y accesorios de iluminación</t>
  </si>
  <si>
    <t>Limpieza final de obra</t>
  </si>
  <si>
    <t>Instalación de maquinarias industrial</t>
  </si>
  <si>
    <t>Estudio de lay out con diagrama de flujo del recorrido</t>
  </si>
  <si>
    <t>Gastamos menos</t>
  </si>
  <si>
    <t>Adquisición de nueva maquinaria para la confección de colchones</t>
  </si>
  <si>
    <t>Instalación de maquinarias para la operación</t>
  </si>
  <si>
    <t>Instalaciones de zonas no operativas</t>
  </si>
  <si>
    <t>Instalación de estanterías de almacenes y muebles de oficina</t>
  </si>
  <si>
    <t>Mudanza</t>
  </si>
  <si>
    <t>Zonas exteriores</t>
  </si>
  <si>
    <t>Contrapiso y piso</t>
  </si>
  <si>
    <t>Alumbrado exterior</t>
  </si>
  <si>
    <t>Diseño del área verde, adquisición de materiales y colocación</t>
  </si>
  <si>
    <t>Seguridad e Higiene</t>
  </si>
  <si>
    <t>Portones de ingreso y egreso</t>
  </si>
  <si>
    <t>Paredón perimetral</t>
  </si>
  <si>
    <t>Alarmas y sistema de seguidad por monitoreo</t>
  </si>
  <si>
    <t>Compra e instalación de molinetes de control de acceso</t>
  </si>
  <si>
    <t>Elementos de seguridad e higiene</t>
  </si>
  <si>
    <t>Gastamos mas y estamos atrasados</t>
  </si>
  <si>
    <t>Mudanza de muebles de fábrica, maquinarias, instalaciones, etc.</t>
  </si>
  <si>
    <t>TCPI (BAC)</t>
  </si>
  <si>
    <t>BAC - EV</t>
  </si>
  <si>
    <t>BAC - AC</t>
  </si>
  <si>
    <t>TCPI (EAC)</t>
  </si>
  <si>
    <t>EAC - AC</t>
  </si>
  <si>
    <t>=</t>
  </si>
  <si>
    <t>V. Típicas</t>
  </si>
  <si>
    <t>Gastamos menos y estamos atrasados</t>
  </si>
  <si>
    <t>Gastamos menos y estamos adelantados</t>
  </si>
  <si>
    <t>Gastamos mas</t>
  </si>
  <si>
    <t>Gastamos mas y estamos adelantados</t>
  </si>
  <si>
    <t>Atrasados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</si>
</sst>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0.000%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C00000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65" fontId="0" fillId="0" borderId="0" xfId="1" applyNumberFormat="1" applyFont="1"/>
    <xf numFmtId="14" fontId="2" fillId="0" borderId="0" xfId="0" applyNumberFormat="1" applyFont="1"/>
    <xf numFmtId="165" fontId="2" fillId="0" borderId="0" xfId="1" applyNumberFormat="1" applyFont="1"/>
    <xf numFmtId="0" fontId="0" fillId="0" borderId="0" xfId="0" applyAlignment="1">
      <alignment horizont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4" xfId="0" quotePrefix="1" applyFont="1" applyFill="1" applyBorder="1" applyAlignment="1">
      <alignment horizontal="left" vertical="center" wrapText="1"/>
    </xf>
    <xf numFmtId="165" fontId="4" fillId="0" borderId="4" xfId="1" quotePrefix="1" applyNumberFormat="1" applyFont="1" applyFill="1" applyBorder="1" applyAlignment="1">
      <alignment horizontal="left" vertical="center" wrapText="1"/>
    </xf>
    <xf numFmtId="9" fontId="4" fillId="0" borderId="4" xfId="2" quotePrefix="1" applyFont="1" applyFill="1" applyBorder="1" applyAlignment="1">
      <alignment horizontal="center" vertical="center" wrapText="1"/>
    </xf>
    <xf numFmtId="165" fontId="4" fillId="5" borderId="5" xfId="1" applyNumberFormat="1" applyFont="1" applyFill="1" applyBorder="1" applyAlignment="1">
      <alignment horizontal="center"/>
    </xf>
    <xf numFmtId="0" fontId="4" fillId="0" borderId="6" xfId="0" quotePrefix="1" applyFont="1" applyFill="1" applyBorder="1" applyAlignment="1">
      <alignment horizontal="left" vertical="center" wrapText="1"/>
    </xf>
    <xf numFmtId="0" fontId="4" fillId="0" borderId="5" xfId="0" quotePrefix="1" applyFont="1" applyFill="1" applyBorder="1" applyAlignment="1">
      <alignment horizontal="left" vertical="center" wrapText="1"/>
    </xf>
    <xf numFmtId="0" fontId="0" fillId="0" borderId="0" xfId="0" applyFill="1"/>
    <xf numFmtId="165" fontId="0" fillId="0" borderId="0" xfId="1" applyNumberFormat="1" applyFont="1" applyFill="1"/>
    <xf numFmtId="9" fontId="0" fillId="0" borderId="0" xfId="2" applyFont="1" applyFill="1" applyAlignment="1">
      <alignment horizontal="center"/>
    </xf>
    <xf numFmtId="166" fontId="0" fillId="0" borderId="0" xfId="2" applyNumberFormat="1" applyFont="1" applyFill="1" applyAlignment="1">
      <alignment horizontal="center"/>
    </xf>
    <xf numFmtId="9" fontId="0" fillId="0" borderId="0" xfId="2" applyFont="1" applyAlignment="1">
      <alignment horizontal="center"/>
    </xf>
    <xf numFmtId="165" fontId="4" fillId="5" borderId="4" xfId="1" quotePrefix="1" applyNumberFormat="1" applyFont="1" applyFill="1" applyBorder="1" applyAlignment="1">
      <alignment horizontal="left" vertical="center" wrapText="1"/>
    </xf>
    <xf numFmtId="165" fontId="4" fillId="5" borderId="6" xfId="1" applyNumberFormat="1" applyFont="1" applyFill="1" applyBorder="1" applyAlignment="1">
      <alignment horizontal="center"/>
    </xf>
    <xf numFmtId="164" fontId="4" fillId="5" borderId="6" xfId="1" applyFont="1" applyFill="1" applyBorder="1" applyAlignment="1">
      <alignment horizontal="right"/>
    </xf>
    <xf numFmtId="164" fontId="4" fillId="5" borderId="6" xfId="1" applyFont="1" applyFill="1" applyBorder="1" applyAlignment="1">
      <alignment horizontal="left"/>
    </xf>
    <xf numFmtId="164" fontId="4" fillId="5" borderId="6" xfId="1" quotePrefix="1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/>
    </xf>
    <xf numFmtId="0" fontId="9" fillId="4" borderId="6" xfId="0" quotePrefix="1" applyFont="1" applyFill="1" applyBorder="1" applyAlignment="1">
      <alignment horizontal="center" vertical="center" wrapText="1"/>
    </xf>
    <xf numFmtId="0" fontId="9" fillId="4" borderId="5" xfId="0" quotePrefix="1" applyFont="1" applyFill="1" applyBorder="1" applyAlignment="1">
      <alignment horizontal="center" vertical="center" wrapText="1"/>
    </xf>
    <xf numFmtId="165" fontId="2" fillId="0" borderId="0" xfId="0" applyNumberFormat="1" applyFont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7" xfId="1" applyNumberFormat="1" applyFont="1" applyBorder="1"/>
    <xf numFmtId="0" fontId="0" fillId="0" borderId="0" xfId="0" quotePrefix="1" applyBorder="1" applyAlignment="1">
      <alignment horizontal="center"/>
    </xf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167" fontId="7" fillId="6" borderId="0" xfId="2" applyNumberFormat="1" applyFont="1" applyFill="1"/>
    <xf numFmtId="0" fontId="9" fillId="4" borderId="5" xfId="0" quotePrefix="1" applyFont="1" applyFill="1" applyBorder="1" applyAlignment="1">
      <alignment horizontal="center" vertical="center" wrapText="1"/>
    </xf>
    <xf numFmtId="0" fontId="9" fillId="4" borderId="3" xfId="0" quotePrefix="1" applyFont="1" applyFill="1" applyBorder="1" applyAlignment="1">
      <alignment horizontal="center" vertical="center" wrapText="1"/>
    </xf>
    <xf numFmtId="0" fontId="9" fillId="4" borderId="4" xfId="0" quotePrefix="1" applyFont="1" applyFill="1" applyBorder="1" applyAlignment="1">
      <alignment horizontal="center" vertical="center" wrapText="1"/>
    </xf>
    <xf numFmtId="165" fontId="3" fillId="3" borderId="0" xfId="1" quotePrefix="1" applyNumberFormat="1" applyFont="1" applyFill="1" applyBorder="1" applyAlignment="1">
      <alignment horizontal="center" vertical="center" wrapText="1"/>
    </xf>
    <xf numFmtId="165" fontId="3" fillId="3" borderId="0" xfId="1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165" fontId="3" fillId="2" borderId="0" xfId="1" quotePrefix="1" applyNumberFormat="1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quotePrefix="1" applyFont="1" applyFill="1" applyAlignment="1">
      <alignment horizontal="center" vertical="center"/>
    </xf>
  </cellXfs>
  <cellStyles count="12">
    <cellStyle name="Millares" xfId="1" builtinId="3"/>
    <cellStyle name="Millares 2" xfId="3"/>
    <cellStyle name="Normal" xfId="0" builtinId="0"/>
    <cellStyle name="Normal 2" xfId="4"/>
    <cellStyle name="Normal 2 2" xfId="5"/>
    <cellStyle name="Normal 3" xfId="6"/>
    <cellStyle name="Normal 4" xfId="7"/>
    <cellStyle name="Normal 4 2" xfId="8"/>
    <cellStyle name="Normal 5" xfId="9"/>
    <cellStyle name="Porcentaje" xfId="2" builtinId="5"/>
    <cellStyle name="Porcentaje 2" xfId="10"/>
    <cellStyle name="Porcentaje 2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IA/UCEMA/CLASES%20DEFINITIVAS%202022/Clase%206/TEMPLATE%20-%20Valor%20Ganado%20Birmig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 GANADO"/>
      <sheetName val="TCPI"/>
    </sheetNames>
    <sheetDataSet>
      <sheetData sheetId="0">
        <row r="3">
          <cell r="D3">
            <v>343420319.80819577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V45"/>
  <sheetViews>
    <sheetView showGridLines="0" tabSelected="1" topLeftCell="A2" workbookViewId="0">
      <selection activeCell="H16" sqref="H16"/>
    </sheetView>
  </sheetViews>
  <sheetFormatPr baseColWidth="10" defaultRowHeight="14.4" x14ac:dyDescent="0.3"/>
  <cols>
    <col min="1" max="1" width="14.44140625" customWidth="1"/>
    <col min="2" max="2" width="46.44140625" customWidth="1"/>
    <col min="3" max="3" width="0.5546875" customWidth="1"/>
    <col min="4" max="4" width="12.5546875" style="1" bestFit="1" customWidth="1"/>
    <col min="5" max="5" width="0.5546875" customWidth="1"/>
    <col min="6" max="6" width="12.6640625" customWidth="1"/>
    <col min="7" max="7" width="0.5546875" customWidth="1"/>
    <col min="8" max="8" width="10.6640625" customWidth="1"/>
    <col min="9" max="9" width="0.5546875" customWidth="1"/>
    <col min="10" max="10" width="12.6640625" customWidth="1"/>
    <col min="11" max="11" width="2.6640625" customWidth="1"/>
    <col min="12" max="12" width="12" bestFit="1" customWidth="1"/>
    <col min="13" max="13" width="0.5546875" customWidth="1"/>
    <col min="14" max="17" width="10.6640625" customWidth="1"/>
    <col min="18" max="18" width="30.21875" hidden="1" customWidth="1"/>
    <col min="19" max="19" width="0.5546875" customWidth="1"/>
    <col min="21" max="21" width="0.5546875" customWidth="1"/>
    <col min="22" max="22" width="12" bestFit="1" customWidth="1"/>
  </cols>
  <sheetData>
    <row r="1" spans="1:22" x14ac:dyDescent="0.3">
      <c r="F1" s="2">
        <v>44895</v>
      </c>
      <c r="H1" s="2">
        <v>44895</v>
      </c>
      <c r="J1" s="2">
        <v>44895</v>
      </c>
      <c r="L1" s="2"/>
      <c r="N1" s="2"/>
      <c r="O1" s="2"/>
      <c r="P1" s="2"/>
      <c r="Q1" s="2"/>
      <c r="T1" s="33" t="s">
        <v>57</v>
      </c>
    </row>
    <row r="2" spans="1:22" ht="5.0999999999999996" customHeight="1" x14ac:dyDescent="0.3">
      <c r="D2" s="3"/>
      <c r="F2" s="2"/>
      <c r="H2" s="2"/>
      <c r="J2" s="2"/>
      <c r="L2" s="2"/>
      <c r="N2" s="2"/>
      <c r="O2" s="2"/>
      <c r="P2" s="2"/>
      <c r="Q2" s="2"/>
    </row>
    <row r="3" spans="1:22" x14ac:dyDescent="0.3">
      <c r="D3" s="3">
        <f>SUM(D6:D30)</f>
        <v>343420319.80819577</v>
      </c>
      <c r="F3" s="3">
        <f>SUM(F6:F30)</f>
        <v>271296691.10199249</v>
      </c>
      <c r="H3" s="3"/>
      <c r="J3" s="3">
        <f>SUM(J6:J30)</f>
        <v>265638971.91399422</v>
      </c>
      <c r="L3" s="3">
        <f>SUM(L6:L30)</f>
        <v>264686348.87463248</v>
      </c>
      <c r="N3" s="3"/>
      <c r="O3" s="3"/>
      <c r="P3" s="3"/>
      <c r="Q3" s="3"/>
      <c r="T3" s="26">
        <f>SUM(T6:T30)</f>
        <v>75718896.30102931</v>
      </c>
      <c r="V3" s="26">
        <f>SUM(V6:V30)</f>
        <v>341357868.21502346</v>
      </c>
    </row>
    <row r="4" spans="1:22" ht="18" x14ac:dyDescent="0.3">
      <c r="A4" s="40" t="s">
        <v>0</v>
      </c>
      <c r="B4" s="40"/>
      <c r="D4" s="41" t="s">
        <v>1</v>
      </c>
      <c r="F4" s="43" t="s">
        <v>2</v>
      </c>
      <c r="H4" s="43" t="s">
        <v>3</v>
      </c>
      <c r="J4" s="43" t="s">
        <v>4</v>
      </c>
      <c r="L4" s="38" t="s">
        <v>5</v>
      </c>
      <c r="N4" s="38" t="s">
        <v>6</v>
      </c>
      <c r="O4" s="38" t="s">
        <v>7</v>
      </c>
      <c r="P4" s="38" t="s">
        <v>8</v>
      </c>
      <c r="Q4" s="38" t="s">
        <v>9</v>
      </c>
      <c r="R4" s="38" t="s">
        <v>10</v>
      </c>
      <c r="T4" s="38" t="s">
        <v>11</v>
      </c>
      <c r="V4" s="38" t="s">
        <v>12</v>
      </c>
    </row>
    <row r="5" spans="1:22" x14ac:dyDescent="0.3">
      <c r="A5" s="6" t="s">
        <v>13</v>
      </c>
      <c r="B5" s="6" t="s">
        <v>14</v>
      </c>
      <c r="D5" s="42"/>
      <c r="F5" s="42"/>
      <c r="H5" s="42"/>
      <c r="J5" s="42"/>
      <c r="L5" s="44"/>
      <c r="N5" s="39"/>
      <c r="O5" s="39"/>
      <c r="P5" s="39"/>
      <c r="Q5" s="39"/>
      <c r="R5" s="38"/>
      <c r="T5" s="39"/>
      <c r="V5" s="39"/>
    </row>
    <row r="6" spans="1:22" x14ac:dyDescent="0.3">
      <c r="A6" s="36" t="s">
        <v>15</v>
      </c>
      <c r="B6" s="7" t="s">
        <v>16</v>
      </c>
      <c r="D6" s="8">
        <v>5087566</v>
      </c>
      <c r="F6" s="8">
        <v>5087566</v>
      </c>
      <c r="H6" s="9">
        <v>1</v>
      </c>
      <c r="J6" s="8">
        <v>5974617</v>
      </c>
      <c r="L6" s="18">
        <f>+H6*D6</f>
        <v>5087566</v>
      </c>
      <c r="N6" s="19">
        <f>+L6-F6</f>
        <v>0</v>
      </c>
      <c r="O6" s="20">
        <f>IFERROR(+L6/F6,0)</f>
        <v>1</v>
      </c>
      <c r="P6" s="19">
        <f>+L6-J6</f>
        <v>-887051</v>
      </c>
      <c r="Q6" s="20">
        <f>IFERROR(+L6/J6,0)</f>
        <v>0.85153006460497804</v>
      </c>
      <c r="R6" s="21"/>
      <c r="T6" s="10">
        <f>IFERROR(+(D6-L6)/Q6,D6)</f>
        <v>0</v>
      </c>
      <c r="V6" s="10">
        <f t="shared" ref="V6:V30" si="0">+J6+T6</f>
        <v>5974617</v>
      </c>
    </row>
    <row r="7" spans="1:22" x14ac:dyDescent="0.3">
      <c r="A7" s="37"/>
      <c r="B7" s="7" t="s">
        <v>17</v>
      </c>
      <c r="D7" s="8">
        <v>5030176</v>
      </c>
      <c r="F7" s="8">
        <v>5030176</v>
      </c>
      <c r="H7" s="9">
        <v>1</v>
      </c>
      <c r="J7" s="8">
        <v>5083620</v>
      </c>
      <c r="L7" s="18">
        <f t="shared" ref="L7:L30" si="1">+H7*D7</f>
        <v>5030176</v>
      </c>
      <c r="N7" s="19">
        <f t="shared" ref="N7:N30" si="2">+L7-F7</f>
        <v>0</v>
      </c>
      <c r="O7" s="20">
        <f t="shared" ref="O7:O30" si="3">IFERROR(+L7/F7,0)</f>
        <v>1</v>
      </c>
      <c r="P7" s="19">
        <f t="shared" ref="P7:P30" si="4">+L7-J7</f>
        <v>-53444</v>
      </c>
      <c r="Q7" s="20">
        <f t="shared" ref="Q7:Q30" si="5">IFERROR(+L7/J7,0)</f>
        <v>0.98948701909269376</v>
      </c>
      <c r="R7" s="21"/>
      <c r="T7" s="10">
        <f t="shared" ref="T7:T30" si="6">IFERROR(+(D7-L7)/Q7,D7)</f>
        <v>0</v>
      </c>
      <c r="V7" s="10">
        <f t="shared" si="0"/>
        <v>5083620</v>
      </c>
    </row>
    <row r="8" spans="1:22" ht="20.399999999999999" x14ac:dyDescent="0.3">
      <c r="A8" s="24" t="s">
        <v>18</v>
      </c>
      <c r="B8" s="11" t="s">
        <v>19</v>
      </c>
      <c r="D8" s="8">
        <v>182797135.74584219</v>
      </c>
      <c r="F8" s="8">
        <v>141001948.61119345</v>
      </c>
      <c r="H8" s="9">
        <v>0.75</v>
      </c>
      <c r="J8" s="8">
        <v>140614948.836382</v>
      </c>
      <c r="L8" s="18">
        <f t="shared" si="1"/>
        <v>137097851.80938163</v>
      </c>
      <c r="N8" s="19">
        <f t="shared" si="2"/>
        <v>-3904096.8018118143</v>
      </c>
      <c r="O8" s="20">
        <f t="shared" si="3"/>
        <v>0.97231175284976246</v>
      </c>
      <c r="P8" s="19">
        <f t="shared" si="4"/>
        <v>-3517097.0270003676</v>
      </c>
      <c r="Q8" s="20">
        <f t="shared" si="5"/>
        <v>0.97498774450294878</v>
      </c>
      <c r="R8" s="22" t="s">
        <v>49</v>
      </c>
      <c r="T8" s="10">
        <f t="shared" si="6"/>
        <v>46871649.612127349</v>
      </c>
      <c r="V8" s="10">
        <f t="shared" si="0"/>
        <v>187486598.44850934</v>
      </c>
    </row>
    <row r="9" spans="1:22" x14ac:dyDescent="0.3">
      <c r="A9" s="35" t="s">
        <v>20</v>
      </c>
      <c r="B9" s="11" t="s">
        <v>21</v>
      </c>
      <c r="D9" s="8">
        <v>4598000</v>
      </c>
      <c r="F9" s="8">
        <v>4598000</v>
      </c>
      <c r="H9" s="9">
        <v>1</v>
      </c>
      <c r="J9" s="8">
        <v>4968000</v>
      </c>
      <c r="L9" s="18">
        <f t="shared" si="1"/>
        <v>4598000</v>
      </c>
      <c r="N9" s="19">
        <f t="shared" si="2"/>
        <v>0</v>
      </c>
      <c r="O9" s="20">
        <f t="shared" si="3"/>
        <v>1</v>
      </c>
      <c r="P9" s="19">
        <f t="shared" si="4"/>
        <v>-370000</v>
      </c>
      <c r="Q9" s="20">
        <f t="shared" si="5"/>
        <v>0.92552334943639292</v>
      </c>
      <c r="R9" s="21"/>
      <c r="T9" s="10">
        <f t="shared" si="6"/>
        <v>0</v>
      </c>
      <c r="V9" s="10">
        <f t="shared" si="0"/>
        <v>4968000</v>
      </c>
    </row>
    <row r="10" spans="1:22" x14ac:dyDescent="0.3">
      <c r="A10" s="36"/>
      <c r="B10" s="11" t="s">
        <v>22</v>
      </c>
      <c r="D10" s="8">
        <v>4235000</v>
      </c>
      <c r="F10" s="8">
        <v>4235000</v>
      </c>
      <c r="H10" s="9">
        <v>1</v>
      </c>
      <c r="J10" s="8">
        <v>1815000</v>
      </c>
      <c r="L10" s="18">
        <f t="shared" si="1"/>
        <v>4235000</v>
      </c>
      <c r="N10" s="19">
        <f t="shared" si="2"/>
        <v>0</v>
      </c>
      <c r="O10" s="20">
        <f t="shared" si="3"/>
        <v>1</v>
      </c>
      <c r="P10" s="19">
        <f t="shared" si="4"/>
        <v>2420000</v>
      </c>
      <c r="Q10" s="20">
        <f t="shared" si="5"/>
        <v>2.3333333333333335</v>
      </c>
      <c r="R10" s="21"/>
      <c r="T10" s="10">
        <f t="shared" si="6"/>
        <v>0</v>
      </c>
      <c r="V10" s="10">
        <f t="shared" si="0"/>
        <v>1815000</v>
      </c>
    </row>
    <row r="11" spans="1:22" x14ac:dyDescent="0.3">
      <c r="A11" s="36"/>
      <c r="B11" s="11" t="s">
        <v>23</v>
      </c>
      <c r="D11" s="8">
        <v>5927790</v>
      </c>
      <c r="F11" s="8">
        <v>5927790</v>
      </c>
      <c r="H11" s="9">
        <v>0.7</v>
      </c>
      <c r="J11" s="8">
        <v>5761453</v>
      </c>
      <c r="L11" s="18">
        <f t="shared" si="1"/>
        <v>4149452.9999999995</v>
      </c>
      <c r="N11" s="19">
        <f t="shared" si="2"/>
        <v>-1778337.0000000005</v>
      </c>
      <c r="O11" s="20">
        <f t="shared" si="3"/>
        <v>0.7</v>
      </c>
      <c r="P11" s="19">
        <f t="shared" si="4"/>
        <v>-1612000.0000000005</v>
      </c>
      <c r="Q11" s="20">
        <f t="shared" si="5"/>
        <v>0.72020946799357721</v>
      </c>
      <c r="R11" s="22" t="s">
        <v>49</v>
      </c>
      <c r="T11" s="10">
        <f t="shared" si="6"/>
        <v>2469194.1428571437</v>
      </c>
      <c r="V11" s="10">
        <f t="shared" si="0"/>
        <v>8230647.1428571437</v>
      </c>
    </row>
    <row r="12" spans="1:22" x14ac:dyDescent="0.3">
      <c r="A12" s="37"/>
      <c r="B12" s="11" t="s">
        <v>24</v>
      </c>
      <c r="D12" s="8">
        <v>5747500</v>
      </c>
      <c r="F12" s="8">
        <v>5747500</v>
      </c>
      <c r="H12" s="9">
        <v>1</v>
      </c>
      <c r="J12" s="8">
        <v>4907500</v>
      </c>
      <c r="L12" s="18">
        <f t="shared" si="1"/>
        <v>5747500</v>
      </c>
      <c r="N12" s="19">
        <f t="shared" si="2"/>
        <v>0</v>
      </c>
      <c r="O12" s="20">
        <f t="shared" si="3"/>
        <v>1</v>
      </c>
      <c r="P12" s="19">
        <f t="shared" si="4"/>
        <v>840000</v>
      </c>
      <c r="Q12" s="20">
        <f t="shared" si="5"/>
        <v>1.1711665817626082</v>
      </c>
      <c r="R12" s="21"/>
      <c r="T12" s="10">
        <f t="shared" si="6"/>
        <v>0</v>
      </c>
      <c r="V12" s="10">
        <f t="shared" si="0"/>
        <v>4907500</v>
      </c>
    </row>
    <row r="13" spans="1:22" x14ac:dyDescent="0.3">
      <c r="A13" s="35" t="s">
        <v>25</v>
      </c>
      <c r="B13" s="12" t="s">
        <v>26</v>
      </c>
      <c r="D13" s="8">
        <v>3777330.8935046666</v>
      </c>
      <c r="F13" s="8">
        <v>3098682.2268380001</v>
      </c>
      <c r="H13" s="9">
        <v>0.5</v>
      </c>
      <c r="J13" s="8">
        <v>1737641.1739533299</v>
      </c>
      <c r="L13" s="18">
        <f t="shared" si="1"/>
        <v>1888665.4467523333</v>
      </c>
      <c r="N13" s="19">
        <f t="shared" si="2"/>
        <v>-1210016.7800856668</v>
      </c>
      <c r="O13" s="20">
        <f t="shared" si="3"/>
        <v>0.60950601207003763</v>
      </c>
      <c r="P13" s="19">
        <f t="shared" si="4"/>
        <v>151024.2727990034</v>
      </c>
      <c r="Q13" s="20">
        <f t="shared" si="5"/>
        <v>1.086913382960077</v>
      </c>
      <c r="R13" s="22" t="s">
        <v>58</v>
      </c>
      <c r="T13" s="10">
        <f t="shared" si="6"/>
        <v>1737641.1739533297</v>
      </c>
      <c r="V13" s="10">
        <f t="shared" si="0"/>
        <v>3475282.3479066594</v>
      </c>
    </row>
    <row r="14" spans="1:22" x14ac:dyDescent="0.3">
      <c r="A14" s="36"/>
      <c r="B14" s="11" t="s">
        <v>27</v>
      </c>
      <c r="D14" s="8">
        <v>2955000.0000000009</v>
      </c>
      <c r="F14" s="8">
        <v>652562.50000000012</v>
      </c>
      <c r="H14" s="9">
        <v>0.3</v>
      </c>
      <c r="J14" s="8">
        <v>686500</v>
      </c>
      <c r="L14" s="18">
        <f t="shared" si="1"/>
        <v>886500.00000000023</v>
      </c>
      <c r="N14" s="19">
        <f t="shared" si="2"/>
        <v>233937.50000000012</v>
      </c>
      <c r="O14" s="20">
        <f t="shared" si="3"/>
        <v>1.358490566037736</v>
      </c>
      <c r="P14" s="19">
        <f t="shared" si="4"/>
        <v>200000.00000000023</v>
      </c>
      <c r="Q14" s="20">
        <f t="shared" si="5"/>
        <v>1.2913328477785875</v>
      </c>
      <c r="R14" s="22" t="s">
        <v>59</v>
      </c>
      <c r="T14" s="10">
        <f t="shared" si="6"/>
        <v>1601833.3333333333</v>
      </c>
      <c r="V14" s="10">
        <f t="shared" si="0"/>
        <v>2288333.333333333</v>
      </c>
    </row>
    <row r="15" spans="1:22" x14ac:dyDescent="0.3">
      <c r="A15" s="36"/>
      <c r="B15" s="12" t="s">
        <v>28</v>
      </c>
      <c r="D15" s="8">
        <v>7296300</v>
      </c>
      <c r="F15" s="8">
        <v>1582074.9999999998</v>
      </c>
      <c r="H15" s="9">
        <v>0</v>
      </c>
      <c r="J15" s="8">
        <v>0</v>
      </c>
      <c r="L15" s="18">
        <f t="shared" si="1"/>
        <v>0</v>
      </c>
      <c r="N15" s="19">
        <f t="shared" si="2"/>
        <v>-1582074.9999999998</v>
      </c>
      <c r="O15" s="20">
        <f t="shared" si="3"/>
        <v>0</v>
      </c>
      <c r="P15" s="19">
        <f t="shared" si="4"/>
        <v>0</v>
      </c>
      <c r="Q15" s="20">
        <f t="shared" si="5"/>
        <v>0</v>
      </c>
      <c r="R15" s="22" t="s">
        <v>62</v>
      </c>
      <c r="T15" s="10">
        <f t="shared" si="6"/>
        <v>7296300</v>
      </c>
      <c r="V15" s="10">
        <f t="shared" si="0"/>
        <v>7296300</v>
      </c>
    </row>
    <row r="16" spans="1:22" x14ac:dyDescent="0.3">
      <c r="A16" s="36"/>
      <c r="B16" s="12" t="s">
        <v>29</v>
      </c>
      <c r="D16" s="8">
        <v>4289577.371266</v>
      </c>
      <c r="F16" s="8">
        <v>2030910.7045993332</v>
      </c>
      <c r="H16" s="9">
        <v>0</v>
      </c>
      <c r="J16" s="8">
        <v>0</v>
      </c>
      <c r="L16" s="18">
        <f t="shared" si="1"/>
        <v>0</v>
      </c>
      <c r="N16" s="19">
        <f t="shared" si="2"/>
        <v>-2030910.7045993332</v>
      </c>
      <c r="O16" s="20">
        <f t="shared" si="3"/>
        <v>0</v>
      </c>
      <c r="P16" s="19">
        <f t="shared" si="4"/>
        <v>0</v>
      </c>
      <c r="Q16" s="20">
        <f t="shared" si="5"/>
        <v>0</v>
      </c>
      <c r="R16" s="22" t="s">
        <v>62</v>
      </c>
      <c r="T16" s="10">
        <f t="shared" si="6"/>
        <v>4289577.371266</v>
      </c>
      <c r="V16" s="10">
        <f t="shared" si="0"/>
        <v>4289577.371266</v>
      </c>
    </row>
    <row r="17" spans="1:22" x14ac:dyDescent="0.3">
      <c r="A17" s="37"/>
      <c r="B17" s="11" t="s">
        <v>30</v>
      </c>
      <c r="D17" s="8">
        <v>200000</v>
      </c>
      <c r="F17" s="8">
        <v>200000</v>
      </c>
      <c r="H17" s="9">
        <v>1</v>
      </c>
      <c r="J17" s="8">
        <v>30000</v>
      </c>
      <c r="L17" s="18">
        <f t="shared" si="1"/>
        <v>200000</v>
      </c>
      <c r="N17" s="19">
        <f t="shared" si="2"/>
        <v>0</v>
      </c>
      <c r="O17" s="20">
        <f t="shared" si="3"/>
        <v>1</v>
      </c>
      <c r="P17" s="19">
        <f t="shared" si="4"/>
        <v>170000</v>
      </c>
      <c r="Q17" s="20">
        <f t="shared" si="5"/>
        <v>6.666666666666667</v>
      </c>
      <c r="R17" s="21" t="s">
        <v>33</v>
      </c>
      <c r="T17" s="10">
        <f t="shared" si="6"/>
        <v>0</v>
      </c>
      <c r="V17" s="10">
        <f t="shared" si="0"/>
        <v>30000</v>
      </c>
    </row>
    <row r="18" spans="1:22" ht="15" customHeight="1" x14ac:dyDescent="0.3">
      <c r="A18" s="35" t="s">
        <v>31</v>
      </c>
      <c r="B18" s="11" t="s">
        <v>32</v>
      </c>
      <c r="D18" s="8">
        <v>2611680.7203124994</v>
      </c>
      <c r="F18" s="8">
        <v>2611680.7203124994</v>
      </c>
      <c r="H18" s="9">
        <v>1</v>
      </c>
      <c r="J18" s="8">
        <v>2997800</v>
      </c>
      <c r="L18" s="18">
        <f t="shared" si="1"/>
        <v>2611680.7203124994</v>
      </c>
      <c r="N18" s="19">
        <f t="shared" si="2"/>
        <v>0</v>
      </c>
      <c r="O18" s="20">
        <f t="shared" si="3"/>
        <v>1</v>
      </c>
      <c r="P18" s="19">
        <f t="shared" si="4"/>
        <v>-386119.27968750056</v>
      </c>
      <c r="Q18" s="20">
        <f t="shared" si="5"/>
        <v>0.87119911945843598</v>
      </c>
      <c r="R18" s="21" t="s">
        <v>60</v>
      </c>
      <c r="T18" s="10">
        <f t="shared" si="6"/>
        <v>0</v>
      </c>
      <c r="V18" s="10">
        <f t="shared" si="0"/>
        <v>2997800</v>
      </c>
    </row>
    <row r="19" spans="1:22" x14ac:dyDescent="0.3">
      <c r="A19" s="36"/>
      <c r="B19" s="12" t="s">
        <v>34</v>
      </c>
      <c r="D19" s="8">
        <v>74720273.476443976</v>
      </c>
      <c r="F19" s="8">
        <v>74720273.476443976</v>
      </c>
      <c r="H19" s="9">
        <v>1</v>
      </c>
      <c r="J19" s="8">
        <v>79448685.673999995</v>
      </c>
      <c r="L19" s="18">
        <f t="shared" si="1"/>
        <v>74720273.476443976</v>
      </c>
      <c r="N19" s="19">
        <f t="shared" si="2"/>
        <v>0</v>
      </c>
      <c r="O19" s="20">
        <f t="shared" si="3"/>
        <v>1</v>
      </c>
      <c r="P19" s="19">
        <f t="shared" si="4"/>
        <v>-4728412.1975560188</v>
      </c>
      <c r="Q19" s="20">
        <f t="shared" si="5"/>
        <v>0.94048470207602919</v>
      </c>
      <c r="R19" s="21" t="s">
        <v>60</v>
      </c>
      <c r="T19" s="10">
        <f t="shared" si="6"/>
        <v>0</v>
      </c>
      <c r="V19" s="10">
        <f t="shared" si="0"/>
        <v>79448685.673999995</v>
      </c>
    </row>
    <row r="20" spans="1:22" x14ac:dyDescent="0.3">
      <c r="A20" s="37"/>
      <c r="B20" s="11" t="s">
        <v>35</v>
      </c>
      <c r="D20" s="8">
        <v>228477.77183087994</v>
      </c>
      <c r="F20" s="8">
        <v>0</v>
      </c>
      <c r="H20" s="9">
        <v>0</v>
      </c>
      <c r="J20" s="8">
        <v>0</v>
      </c>
      <c r="L20" s="18">
        <f t="shared" si="1"/>
        <v>0</v>
      </c>
      <c r="N20" s="19">
        <f t="shared" si="2"/>
        <v>0</v>
      </c>
      <c r="O20" s="20">
        <f t="shared" si="3"/>
        <v>0</v>
      </c>
      <c r="P20" s="19">
        <f t="shared" si="4"/>
        <v>0</v>
      </c>
      <c r="Q20" s="20">
        <f t="shared" si="5"/>
        <v>0</v>
      </c>
      <c r="R20" s="21"/>
      <c r="T20" s="10">
        <f t="shared" si="6"/>
        <v>228477.77183087994</v>
      </c>
      <c r="V20" s="10">
        <f t="shared" si="0"/>
        <v>228477.77183087994</v>
      </c>
    </row>
    <row r="21" spans="1:22" ht="20.399999999999999" x14ac:dyDescent="0.3">
      <c r="A21" s="25" t="s">
        <v>36</v>
      </c>
      <c r="B21" s="11" t="s">
        <v>37</v>
      </c>
      <c r="D21" s="8">
        <v>152318.51455391996</v>
      </c>
      <c r="F21" s="8">
        <v>0</v>
      </c>
      <c r="H21" s="9">
        <v>0</v>
      </c>
      <c r="J21" s="8">
        <v>0</v>
      </c>
      <c r="L21" s="18">
        <f t="shared" si="1"/>
        <v>0</v>
      </c>
      <c r="N21" s="19">
        <f t="shared" si="2"/>
        <v>0</v>
      </c>
      <c r="O21" s="20">
        <f t="shared" si="3"/>
        <v>0</v>
      </c>
      <c r="P21" s="19">
        <f t="shared" si="4"/>
        <v>0</v>
      </c>
      <c r="Q21" s="20">
        <f t="shared" si="5"/>
        <v>0</v>
      </c>
      <c r="R21" s="21"/>
      <c r="T21" s="10">
        <f t="shared" si="6"/>
        <v>152318.51455391996</v>
      </c>
      <c r="V21" s="10">
        <f t="shared" si="0"/>
        <v>152318.51455391996</v>
      </c>
    </row>
    <row r="22" spans="1:22" x14ac:dyDescent="0.3">
      <c r="A22" s="23" t="s">
        <v>38</v>
      </c>
      <c r="B22" s="11" t="s">
        <v>50</v>
      </c>
      <c r="D22" s="8">
        <v>788484.89360087528</v>
      </c>
      <c r="F22" s="8">
        <v>0</v>
      </c>
      <c r="H22" s="9">
        <v>0</v>
      </c>
      <c r="J22" s="8">
        <v>0</v>
      </c>
      <c r="L22" s="18">
        <f t="shared" si="1"/>
        <v>0</v>
      </c>
      <c r="N22" s="19">
        <f t="shared" si="2"/>
        <v>0</v>
      </c>
      <c r="O22" s="20">
        <f t="shared" si="3"/>
        <v>0</v>
      </c>
      <c r="P22" s="19">
        <f t="shared" si="4"/>
        <v>0</v>
      </c>
      <c r="Q22" s="20">
        <f t="shared" si="5"/>
        <v>0</v>
      </c>
      <c r="R22" s="21"/>
      <c r="T22" s="10">
        <f t="shared" si="6"/>
        <v>788484.89360087528</v>
      </c>
      <c r="V22" s="10">
        <f t="shared" si="0"/>
        <v>788484.89360087528</v>
      </c>
    </row>
    <row r="23" spans="1:22" x14ac:dyDescent="0.3">
      <c r="A23" s="35" t="s">
        <v>39</v>
      </c>
      <c r="B23" s="12" t="s">
        <v>40</v>
      </c>
      <c r="D23" s="8">
        <v>18230841.579530936</v>
      </c>
      <c r="F23" s="8">
        <v>6764579.0795309357</v>
      </c>
      <c r="H23" s="9">
        <v>0.6</v>
      </c>
      <c r="J23" s="8">
        <v>4913578.9381804988</v>
      </c>
      <c r="L23" s="18">
        <f t="shared" si="1"/>
        <v>10938504.947718561</v>
      </c>
      <c r="N23" s="19">
        <f t="shared" si="2"/>
        <v>4173925.868187625</v>
      </c>
      <c r="O23" s="20">
        <f t="shared" si="3"/>
        <v>1.6170266943611591</v>
      </c>
      <c r="P23" s="19">
        <f t="shared" si="4"/>
        <v>6024926.0095380619</v>
      </c>
      <c r="Q23" s="20">
        <f t="shared" si="5"/>
        <v>2.2261787355692908</v>
      </c>
      <c r="R23" s="22" t="s">
        <v>59</v>
      </c>
      <c r="T23" s="10">
        <f t="shared" si="6"/>
        <v>3275719.2921203328</v>
      </c>
      <c r="V23" s="10">
        <f t="shared" si="0"/>
        <v>8189298.2303008316</v>
      </c>
    </row>
    <row r="24" spans="1:22" x14ac:dyDescent="0.3">
      <c r="A24" s="36"/>
      <c r="B24" s="12" t="s">
        <v>41</v>
      </c>
      <c r="D24" s="8">
        <v>1678896.2832459155</v>
      </c>
      <c r="F24" s="8">
        <v>1136816.2832459155</v>
      </c>
      <c r="H24" s="9">
        <v>0.68500000000000005</v>
      </c>
      <c r="J24" s="8">
        <v>1261542.2914783999</v>
      </c>
      <c r="L24" s="18">
        <f t="shared" si="1"/>
        <v>1150043.9540234522</v>
      </c>
      <c r="N24" s="19">
        <f t="shared" si="2"/>
        <v>13227.670777536696</v>
      </c>
      <c r="O24" s="20">
        <f t="shared" si="3"/>
        <v>1.011635715438354</v>
      </c>
      <c r="P24" s="19">
        <f t="shared" si="4"/>
        <v>-111498.33745494764</v>
      </c>
      <c r="Q24" s="20">
        <f t="shared" si="5"/>
        <v>0.91161743985270371</v>
      </c>
      <c r="R24" s="22" t="s">
        <v>61</v>
      </c>
      <c r="T24" s="10">
        <f t="shared" si="6"/>
        <v>580125.28732218372</v>
      </c>
      <c r="V24" s="10">
        <f t="shared" si="0"/>
        <v>1841667.5788005837</v>
      </c>
    </row>
    <row r="25" spans="1:22" x14ac:dyDescent="0.3">
      <c r="A25" s="37"/>
      <c r="B25" s="11" t="s">
        <v>42</v>
      </c>
      <c r="D25" s="8">
        <v>1867394.8460180657</v>
      </c>
      <c r="F25" s="8">
        <v>560218.45380541973</v>
      </c>
      <c r="H25" s="9">
        <v>0</v>
      </c>
      <c r="J25" s="8">
        <v>0</v>
      </c>
      <c r="L25" s="18">
        <f t="shared" si="1"/>
        <v>0</v>
      </c>
      <c r="N25" s="19">
        <f t="shared" si="2"/>
        <v>-560218.45380541973</v>
      </c>
      <c r="O25" s="20">
        <f t="shared" si="3"/>
        <v>0</v>
      </c>
      <c r="P25" s="19">
        <f t="shared" si="4"/>
        <v>0</v>
      </c>
      <c r="Q25" s="20">
        <f t="shared" si="5"/>
        <v>0</v>
      </c>
      <c r="R25" s="22" t="s">
        <v>62</v>
      </c>
      <c r="T25" s="10">
        <f t="shared" si="6"/>
        <v>1867394.8460180657</v>
      </c>
      <c r="V25" s="10">
        <f t="shared" si="0"/>
        <v>1867394.8460180657</v>
      </c>
    </row>
    <row r="26" spans="1:22" x14ac:dyDescent="0.3">
      <c r="A26" s="35" t="s">
        <v>43</v>
      </c>
      <c r="B26" s="11" t="s">
        <v>44</v>
      </c>
      <c r="D26" s="8">
        <v>949850</v>
      </c>
      <c r="F26" s="8">
        <v>949850</v>
      </c>
      <c r="H26" s="9">
        <v>1</v>
      </c>
      <c r="J26" s="8">
        <v>1223850</v>
      </c>
      <c r="L26" s="18">
        <f t="shared" si="1"/>
        <v>949850</v>
      </c>
      <c r="N26" s="19">
        <f t="shared" si="2"/>
        <v>0</v>
      </c>
      <c r="O26" s="20">
        <f t="shared" si="3"/>
        <v>1</v>
      </c>
      <c r="P26" s="19">
        <f t="shared" si="4"/>
        <v>-274000</v>
      </c>
      <c r="Q26" s="20">
        <f t="shared" si="5"/>
        <v>0.77611635412836544</v>
      </c>
      <c r="R26" s="21" t="s">
        <v>60</v>
      </c>
      <c r="T26" s="10">
        <f t="shared" si="6"/>
        <v>0</v>
      </c>
      <c r="V26" s="10">
        <f t="shared" si="0"/>
        <v>1223850</v>
      </c>
    </row>
    <row r="27" spans="1:22" x14ac:dyDescent="0.3">
      <c r="A27" s="36"/>
      <c r="B27" s="11" t="s">
        <v>45</v>
      </c>
      <c r="D27" s="8">
        <v>6744104.3999999994</v>
      </c>
      <c r="F27" s="8">
        <v>4046462.6399999997</v>
      </c>
      <c r="H27" s="9">
        <v>0.8</v>
      </c>
      <c r="J27" s="8">
        <v>4214235</v>
      </c>
      <c r="L27" s="18">
        <f t="shared" si="1"/>
        <v>5395283.5199999996</v>
      </c>
      <c r="N27" s="19">
        <f t="shared" si="2"/>
        <v>1348820.88</v>
      </c>
      <c r="O27" s="20">
        <f t="shared" si="3"/>
        <v>1.3333333333333333</v>
      </c>
      <c r="P27" s="19">
        <f t="shared" si="4"/>
        <v>1181048.5199999996</v>
      </c>
      <c r="Q27" s="20">
        <f t="shared" si="5"/>
        <v>1.2802521738820924</v>
      </c>
      <c r="R27" s="22" t="s">
        <v>59</v>
      </c>
      <c r="T27" s="10">
        <f t="shared" si="6"/>
        <v>1053558.75</v>
      </c>
      <c r="V27" s="10">
        <f t="shared" si="0"/>
        <v>5267793.75</v>
      </c>
    </row>
    <row r="28" spans="1:22" x14ac:dyDescent="0.3">
      <c r="A28" s="36"/>
      <c r="B28" s="7" t="s">
        <v>46</v>
      </c>
      <c r="D28" s="8">
        <v>340182</v>
      </c>
      <c r="F28" s="8">
        <v>99219.75</v>
      </c>
      <c r="H28" s="9">
        <v>0</v>
      </c>
      <c r="J28" s="8">
        <v>0</v>
      </c>
      <c r="L28" s="18">
        <f t="shared" si="1"/>
        <v>0</v>
      </c>
      <c r="N28" s="19">
        <f t="shared" si="2"/>
        <v>-99219.75</v>
      </c>
      <c r="O28" s="20">
        <f t="shared" si="3"/>
        <v>0</v>
      </c>
      <c r="P28" s="19">
        <f t="shared" si="4"/>
        <v>0</v>
      </c>
      <c r="Q28" s="20">
        <f t="shared" si="5"/>
        <v>0</v>
      </c>
      <c r="R28" s="22" t="s">
        <v>62</v>
      </c>
      <c r="T28" s="10">
        <f t="shared" si="6"/>
        <v>340182</v>
      </c>
      <c r="V28" s="10">
        <f t="shared" si="0"/>
        <v>340182</v>
      </c>
    </row>
    <row r="29" spans="1:22" x14ac:dyDescent="0.3">
      <c r="A29" s="36"/>
      <c r="B29" s="7" t="s">
        <v>47</v>
      </c>
      <c r="D29" s="8">
        <v>1327239.3120458983</v>
      </c>
      <c r="F29" s="8">
        <v>663619.65602294914</v>
      </c>
      <c r="H29" s="9">
        <v>0</v>
      </c>
      <c r="J29" s="8">
        <v>0</v>
      </c>
      <c r="L29" s="18">
        <f t="shared" si="1"/>
        <v>0</v>
      </c>
      <c r="N29" s="19">
        <f t="shared" si="2"/>
        <v>-663619.65602294914</v>
      </c>
      <c r="O29" s="20">
        <f t="shared" si="3"/>
        <v>0</v>
      </c>
      <c r="P29" s="19">
        <f t="shared" si="4"/>
        <v>0</v>
      </c>
      <c r="Q29" s="20">
        <f t="shared" si="5"/>
        <v>0</v>
      </c>
      <c r="R29" s="22" t="s">
        <v>62</v>
      </c>
      <c r="T29" s="10">
        <f t="shared" si="6"/>
        <v>1327239.3120458983</v>
      </c>
      <c r="V29" s="10">
        <f t="shared" si="0"/>
        <v>1327239.3120458983</v>
      </c>
    </row>
    <row r="30" spans="1:22" x14ac:dyDescent="0.3">
      <c r="A30" s="37"/>
      <c r="B30" s="11" t="s">
        <v>48</v>
      </c>
      <c r="D30" s="8">
        <v>1839200</v>
      </c>
      <c r="F30" s="8">
        <v>551760</v>
      </c>
      <c r="H30" s="9">
        <v>0</v>
      </c>
      <c r="J30" s="8">
        <v>0</v>
      </c>
      <c r="L30" s="18">
        <f t="shared" si="1"/>
        <v>0</v>
      </c>
      <c r="N30" s="19">
        <f t="shared" si="2"/>
        <v>-551760</v>
      </c>
      <c r="O30" s="20">
        <f t="shared" si="3"/>
        <v>0</v>
      </c>
      <c r="P30" s="19">
        <f t="shared" si="4"/>
        <v>0</v>
      </c>
      <c r="Q30" s="20">
        <f t="shared" si="5"/>
        <v>0</v>
      </c>
      <c r="R30" s="22" t="s">
        <v>62</v>
      </c>
      <c r="T30" s="10">
        <f t="shared" si="6"/>
        <v>1839200</v>
      </c>
      <c r="V30" s="19">
        <f t="shared" si="0"/>
        <v>1839200</v>
      </c>
    </row>
    <row r="31" spans="1:22" x14ac:dyDescent="0.3">
      <c r="B31" s="13"/>
      <c r="D31" s="14"/>
      <c r="F31" s="14"/>
      <c r="H31" s="15"/>
      <c r="J31" s="15"/>
      <c r="L31" s="15"/>
      <c r="N31" s="15"/>
      <c r="O31" s="15"/>
      <c r="P31" s="15"/>
      <c r="Q31" s="15"/>
    </row>
    <row r="32" spans="1:22" x14ac:dyDescent="0.3">
      <c r="B32" s="13"/>
      <c r="D32" s="14"/>
      <c r="F32" s="14"/>
      <c r="H32" s="15"/>
      <c r="J32" s="15"/>
      <c r="L32" s="15"/>
      <c r="N32" s="15"/>
      <c r="O32" s="15"/>
      <c r="P32" s="15"/>
      <c r="Q32" s="15"/>
    </row>
    <row r="33" spans="2:17" x14ac:dyDescent="0.3">
      <c r="B33" s="13"/>
      <c r="D33" s="14"/>
      <c r="F33" s="14"/>
      <c r="H33" s="16"/>
      <c r="J33" s="15"/>
      <c r="L33" s="15"/>
      <c r="N33" s="15"/>
      <c r="O33" s="15"/>
      <c r="P33" s="15"/>
      <c r="Q33" s="15"/>
    </row>
    <row r="34" spans="2:17" x14ac:dyDescent="0.3">
      <c r="B34" s="13"/>
      <c r="D34" s="14"/>
      <c r="F34" s="14"/>
      <c r="H34" s="15"/>
      <c r="J34" s="15"/>
      <c r="L34" s="15"/>
      <c r="N34" s="15"/>
      <c r="O34" s="15"/>
      <c r="P34" s="15"/>
      <c r="Q34" s="15"/>
    </row>
    <row r="35" spans="2:17" x14ac:dyDescent="0.3">
      <c r="B35" s="13"/>
      <c r="D35" s="14"/>
      <c r="F35" s="14"/>
      <c r="H35" s="15"/>
      <c r="J35" s="15"/>
      <c r="L35" s="15"/>
      <c r="N35" s="15"/>
      <c r="O35" s="15"/>
      <c r="P35" s="15"/>
      <c r="Q35" s="15"/>
    </row>
    <row r="36" spans="2:17" x14ac:dyDescent="0.3">
      <c r="B36" s="13"/>
      <c r="D36" s="14"/>
      <c r="F36" s="14"/>
      <c r="H36" s="15"/>
      <c r="J36" s="15"/>
      <c r="L36" s="15"/>
      <c r="N36" s="15"/>
      <c r="O36" s="15"/>
      <c r="P36" s="15"/>
      <c r="Q36" s="15"/>
    </row>
    <row r="37" spans="2:17" x14ac:dyDescent="0.3">
      <c r="B37" s="13"/>
      <c r="D37" s="14"/>
      <c r="F37" s="14"/>
      <c r="H37" s="15"/>
      <c r="J37" s="15"/>
      <c r="L37" s="15"/>
      <c r="N37" s="15"/>
      <c r="O37" s="15"/>
      <c r="P37" s="15"/>
      <c r="Q37" s="15"/>
    </row>
    <row r="38" spans="2:17" x14ac:dyDescent="0.3">
      <c r="B38" s="13"/>
      <c r="D38" s="14"/>
      <c r="F38" s="14"/>
      <c r="H38" s="15"/>
      <c r="J38" s="15"/>
      <c r="L38" s="15"/>
      <c r="N38" s="15"/>
      <c r="O38" s="15"/>
      <c r="P38" s="15"/>
      <c r="Q38" s="15"/>
    </row>
    <row r="39" spans="2:17" x14ac:dyDescent="0.3">
      <c r="B39" s="13"/>
      <c r="D39" s="14"/>
      <c r="F39" s="14"/>
      <c r="H39" s="15"/>
      <c r="J39" s="15"/>
      <c r="L39" s="15"/>
      <c r="N39" s="15"/>
      <c r="O39" s="15"/>
      <c r="P39" s="15"/>
      <c r="Q39" s="15"/>
    </row>
    <row r="40" spans="2:17" x14ac:dyDescent="0.3">
      <c r="B40" s="13"/>
      <c r="D40" s="14"/>
      <c r="F40" s="14"/>
      <c r="H40" s="15"/>
      <c r="J40" s="15"/>
      <c r="L40" s="15"/>
      <c r="N40" s="15"/>
      <c r="O40" s="15"/>
      <c r="P40" s="15"/>
      <c r="Q40" s="15"/>
    </row>
    <row r="41" spans="2:17" x14ac:dyDescent="0.3">
      <c r="B41" s="13"/>
      <c r="D41" s="14"/>
      <c r="F41" s="14"/>
      <c r="H41" s="15"/>
      <c r="J41" s="15"/>
      <c r="L41" s="15"/>
      <c r="N41" s="15"/>
      <c r="O41" s="15"/>
      <c r="P41" s="15"/>
      <c r="Q41" s="15"/>
    </row>
    <row r="42" spans="2:17" x14ac:dyDescent="0.3">
      <c r="B42" s="13"/>
      <c r="D42" s="14"/>
      <c r="H42" s="17"/>
      <c r="J42" s="17"/>
      <c r="L42" s="17"/>
      <c r="N42" s="17"/>
      <c r="O42" s="17"/>
      <c r="P42" s="17"/>
      <c r="Q42" s="17"/>
    </row>
    <row r="43" spans="2:17" x14ac:dyDescent="0.3">
      <c r="B43" s="13"/>
      <c r="D43" s="14"/>
    </row>
    <row r="44" spans="2:17" x14ac:dyDescent="0.3">
      <c r="B44" s="13"/>
      <c r="D44" s="14"/>
    </row>
    <row r="45" spans="2:17" x14ac:dyDescent="0.3">
      <c r="B45" s="13"/>
      <c r="D45" s="14"/>
    </row>
  </sheetData>
  <mergeCells count="19">
    <mergeCell ref="H4:H5"/>
    <mergeCell ref="J4:J5"/>
    <mergeCell ref="L4:L5"/>
    <mergeCell ref="A23:A25"/>
    <mergeCell ref="A26:A30"/>
    <mergeCell ref="A18:A20"/>
    <mergeCell ref="A13:A17"/>
    <mergeCell ref="V4:V5"/>
    <mergeCell ref="A6:A7"/>
    <mergeCell ref="A9:A12"/>
    <mergeCell ref="N4:N5"/>
    <mergeCell ref="O4:O5"/>
    <mergeCell ref="P4:P5"/>
    <mergeCell ref="Q4:Q5"/>
    <mergeCell ref="R4:R5"/>
    <mergeCell ref="T4:T5"/>
    <mergeCell ref="A4:B4"/>
    <mergeCell ref="D4:D5"/>
    <mergeCell ref="F4:F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6AE0A9B-7ADF-4BEE-9B54-E6AFF37AC5A7}">
            <x14:iconSet iconSet="3Arrows" custom="1">
              <x14:cfvo type="percent">
                <xm:f>0</xm:f>
              </x14:cfvo>
              <x14:cfvo type="num">
                <xm:f>0.99990000000000001</xm:f>
              </x14:cfvo>
              <x14:cfvo type="num" gte="0">
                <xm:f>1</xm:f>
              </x14:cfvo>
              <x14:cfIcon iconSet="3Arrows" iconId="0"/>
              <x14:cfIcon iconSet="3Symbols" iconId="2"/>
              <x14:cfIcon iconSet="3Arrows" iconId="2"/>
            </x14:iconSet>
          </x14:cfRule>
          <xm:sqref>O6:O30 Q6:Q30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4:K11"/>
  <sheetViews>
    <sheetView showGridLines="0" workbookViewId="0">
      <selection activeCell="F6" sqref="F6"/>
    </sheetView>
  </sheetViews>
  <sheetFormatPr baseColWidth="10" defaultRowHeight="14.4" x14ac:dyDescent="0.3"/>
  <cols>
    <col min="2" max="2" width="1.6640625" customWidth="1"/>
    <col min="4" max="4" width="1.6640625" customWidth="1"/>
    <col min="5" max="6" width="14.5546875" bestFit="1" customWidth="1"/>
  </cols>
  <sheetData>
    <row r="4" spans="1:11" x14ac:dyDescent="0.3">
      <c r="E4" s="4"/>
      <c r="F4" s="4"/>
    </row>
    <row r="5" spans="1:11" ht="18" x14ac:dyDescent="0.35">
      <c r="A5" s="45" t="s">
        <v>51</v>
      </c>
      <c r="C5" s="27" t="s">
        <v>52</v>
      </c>
      <c r="E5" s="29">
        <f>+'[1]VALOR GANADO'!D3</f>
        <v>343420319.80819577</v>
      </c>
      <c r="F5" s="29">
        <f>+'VALOR GANADO'!L3</f>
        <v>264686348.87463248</v>
      </c>
      <c r="G5" s="31" t="s">
        <v>56</v>
      </c>
      <c r="H5" s="34">
        <f>+(E5-F5)/(E6-F6)</f>
        <v>1.0122474483298682</v>
      </c>
    </row>
    <row r="6" spans="1:11" ht="18" x14ac:dyDescent="0.35">
      <c r="A6" s="45"/>
      <c r="C6" s="28" t="s">
        <v>53</v>
      </c>
      <c r="E6" s="1">
        <f>+'VALOR GANADO'!D3</f>
        <v>343420319.80819577</v>
      </c>
      <c r="F6" s="1">
        <f>+'VALOR GANADO'!J3</f>
        <v>265638971.91399422</v>
      </c>
      <c r="G6" s="32"/>
    </row>
    <row r="7" spans="1:11" ht="18" x14ac:dyDescent="0.35">
      <c r="G7" s="32"/>
    </row>
    <row r="8" spans="1:11" ht="18" x14ac:dyDescent="0.35">
      <c r="E8" s="1"/>
      <c r="F8" s="1"/>
      <c r="G8" s="32"/>
    </row>
    <row r="9" spans="1:11" ht="18" x14ac:dyDescent="0.35">
      <c r="E9" s="4"/>
      <c r="F9" s="4"/>
      <c r="G9" s="32"/>
    </row>
    <row r="10" spans="1:11" ht="18" x14ac:dyDescent="0.35">
      <c r="A10" s="46" t="s">
        <v>54</v>
      </c>
      <c r="C10" s="27" t="s">
        <v>52</v>
      </c>
      <c r="E10" s="29">
        <f>+'VALOR GANADO'!D3</f>
        <v>343420319.80819577</v>
      </c>
      <c r="F10" s="29">
        <f>+'VALOR GANADO'!L3</f>
        <v>264686348.87463248</v>
      </c>
      <c r="G10" s="31" t="s">
        <v>56</v>
      </c>
      <c r="H10" s="34">
        <f>+(E10-F10)/(E11-F11)</f>
        <v>1.0398193156507098</v>
      </c>
      <c r="K10" s="5"/>
    </row>
    <row r="11" spans="1:11" x14ac:dyDescent="0.3">
      <c r="A11" s="45"/>
      <c r="C11" s="30" t="s">
        <v>55</v>
      </c>
      <c r="E11" s="1">
        <f>+'VALOR GANADO'!V3</f>
        <v>341357868.21502346</v>
      </c>
      <c r="F11" s="1">
        <f>+'VALOR GANADO'!J3</f>
        <v>265638971.91399422</v>
      </c>
      <c r="K11" s="5"/>
    </row>
  </sheetData>
  <mergeCells count="2">
    <mergeCell ref="A5:A6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GANADO</vt:lpstr>
      <vt:lpstr>TCPI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CNVnotebook</dc:creator>
  <cp:lastModifiedBy>Analia Verónica González</cp:lastModifiedBy>
  <dcterms:created xsi:type="dcterms:W3CDTF">2021-09-08T22:57:48Z</dcterms:created>
  <dcterms:modified xsi:type="dcterms:W3CDTF">2023-08-31T00:54:58Z</dcterms:modified>
</cp:coreProperties>
</file>