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SUPUESTOS" sheetId="2" state="visible" r:id="rId4"/>
    <sheet name="COSTOS_IMPO" sheetId="3" state="visible" r:id="rId5"/>
    <sheet name="FLUJO_CAJA" sheetId="4" state="visible" r:id="rId6"/>
    <sheet name="INDICADORES" sheetId="5" state="visible" r:id="rId7"/>
    <sheet name="BREAK_EVEN" sheetId="6" state="visible" r:id="rId8"/>
    <sheet name="LEGAL" sheetId="7" state="visible" r:id="rId9"/>
  </sheets>
  <calcPr calcId="124519" calcMode="auto" fullCalcOnLoad="1" calcOnSave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<sst xmlns="http://schemas.openxmlformats.org/spreadsheetml/2006/main" count="464" uniqueCount="362">
  <si>
    <t xml:space="preserve">VENDINS</t>
  </si>
  <si>
    <t xml:space="preserve">Plan de Negocio · Modelo Financiero · Análisis de Mercado · Neuquén Capital</t>
  </si>
  <si>
    <t xml:space="preserve">Diseñado por:</t>
  </si>
  <si>
    <t xml:space="preserve">Agustín Diez</t>
  </si>
  <si>
    <t xml:space="preserve">Proyecto:</t>
  </si>
  <si>
    <t xml:space="preserve">VENDINS — Máquinas Expendedoras</t>
  </si>
  <si>
    <t xml:space="preserve">Versión:</t>
  </si>
  <si>
    <t xml:space="preserve">2.0  ·  TC maestro conectado a todas las hojas</t>
  </si>
  <si>
    <t xml:space="preserve">Fecha:</t>
  </si>
  <si>
    <t xml:space="preserve">Marzo 2026</t>
  </si>
  <si>
    <t xml:space="preserve">Moneda base:</t>
  </si>
  <si>
    <t xml:space="preserve">USD  |  ARS (fondo violeta = valor en pesos)</t>
  </si>
  <si>
    <t xml:space="preserve">Horizonte:</t>
  </si>
  <si>
    <t xml:space="preserve">36 meses (3 años)</t>
  </si>
  <si>
    <t xml:space="preserve">⚙  PARÁMETRO MAESTRO: Tipo de Cambio (SUPUESTOS!B4) — modificar solo esa celda para actualizar TODAS las proyecciones en ARS</t>
  </si>
  <si>
    <t xml:space="preserve">ÍNDICE DE HOJAS</t>
  </si>
  <si>
    <t xml:space="preserve">SUPUESTOS</t>
  </si>
  <si>
    <t xml:space="preserve">Todos los supuestos y parámetros del modelo (inputs AZUL). TC maestro en fila 4.</t>
  </si>
  <si>
    <t xml:space="preserve">COSTOS_IMPO</t>
  </si>
  <si>
    <t xml:space="preserve">Costo de importación: 2, 3 y 4 máquinas — China vs Italia — en USD y ARS</t>
  </si>
  <si>
    <t xml:space="preserve">FLUJO_CAJA</t>
  </si>
  <si>
    <t xml:space="preserve">Flujo de caja mensual 36 meses — 3 escenarios — USD y ARS (violeta)</t>
  </si>
  <si>
    <t xml:space="preserve">INDICADORES</t>
  </si>
  <si>
    <t xml:space="preserve">VAN, TIR, Payback — matriz de 9 escenarios — USD y ARS</t>
  </si>
  <si>
    <t xml:space="preserve">BREAK_EVEN</t>
  </si>
  <si>
    <t xml:space="preserve">Punto de equilibrio — ingresos mínimos en USD y ARS</t>
  </si>
  <si>
    <t xml:space="preserve">LEGAL</t>
  </si>
  <si>
    <t xml:space="preserve">Checklist regulatorio: AFIP, ARCA, DPR Neuquén, Municipal</t>
  </si>
  <si>
    <t xml:space="preserve">VENDINS — SUPUESTOS DEL MODELO  (v2.0)</t>
  </si>
  <si>
    <t xml:space="preserve">Parámetro</t>
  </si>
  <si>
    <t xml:space="preserve">Valor</t>
  </si>
  <si>
    <t xml:space="preserve">Fuente / Nota</t>
  </si>
  <si>
    <t xml:space="preserve">MACROECONÓMICOS</t>
  </si>
  <si>
    <t xml:space="preserve">⚙  Tipo de cambio ARS / USD  ← PARÁMETRO MAESTRO</t>
  </si>
  <si>
    <t xml:space="preserve">Cambiar SOLO aquí → se actualiza TODO el modelo (COSTOS_IMPO, FLUJO_CAJA, INDICADORES, BREAK_EVEN)</t>
  </si>
  <si>
    <t xml:space="preserve">Inflación anual estimada (%)</t>
  </si>
  <si>
    <t xml:space="preserve">Proyección consenso</t>
  </si>
  <si>
    <t xml:space="preserve">Tasa de descuento anual — WACC proxy (%)</t>
  </si>
  <si>
    <t xml:space="preserve">Alta por contexto Argentina</t>
  </si>
  <si>
    <t xml:space="preserve">Tasa de descuento mensual (WACC/12 equiv.)</t>
  </si>
  <si>
    <t xml:space="preserve">(1+WACC)^(1/12)-1</t>
  </si>
  <si>
    <t xml:space="preserve">IVA alícuota general (%)</t>
  </si>
  <si>
    <t xml:space="preserve">Argentina</t>
  </si>
  <si>
    <t xml:space="preserve">IMPORTACIÓN — NCM 8476</t>
  </si>
  <si>
    <t xml:space="preserve">Arancel AEC Mercosur NCM 8476 (%)</t>
  </si>
  <si>
    <t xml:space="preserve">Decreto 513/2025 — verificar</t>
  </si>
  <si>
    <t xml:space="preserve">IVA importación (%)</t>
  </si>
  <si>
    <t xml:space="preserve">Recuperable como crédito fiscal</t>
  </si>
  <si>
    <t xml:space="preserve">IVA adicional — percepción (%)</t>
  </si>
  <si>
    <t xml:space="preserve">Derecho estadístico (%)</t>
  </si>
  <si>
    <t xml:space="preserve">Sobre valor CIF</t>
  </si>
  <si>
    <t xml:space="preserve">Despachante de aduana — honorarios (USD flat)</t>
  </si>
  <si>
    <t xml:space="preserve">Estimación mercado</t>
  </si>
  <si>
    <t xml:space="preserve">Seguro marítimo (% sobre FOB)</t>
  </si>
  <si>
    <t xml:space="preserve">Estándar mercado</t>
  </si>
  <si>
    <t xml:space="preserve">MÁQUINAS — PRECIOS FOB</t>
  </si>
  <si>
    <t xml:space="preserve">Precio FOB China — combo snack + bebidas (USD)</t>
  </si>
  <si>
    <t xml:space="preserve">Alibaba/Made-in-China: TCN, Xingyuan, AFEN</t>
  </si>
  <si>
    <t xml:space="preserve">Precio FOB Italia — FAS International (USD)</t>
  </si>
  <si>
    <t xml:space="preserve">Aurora Vending Argentina, distribuidor oficial</t>
  </si>
  <si>
    <t xml:space="preserve">Flete LCL China → Buenos Aires (USD, 2-4 máq.)</t>
  </si>
  <si>
    <t xml:space="preserve">Estimación LCL ~4-8 CBM</t>
  </si>
  <si>
    <t xml:space="preserve">Flete LCL Italia → Buenos Aires (USD, 2-4 máq.)</t>
  </si>
  <si>
    <t xml:space="preserve">Estimación LCL</t>
  </si>
  <si>
    <t xml:space="preserve">OPERACIÓN POR MÁQUINA / MES</t>
  </si>
  <si>
    <t xml:space="preserve">Ingresos brutos — Escenario PESIMISTA (USD)</t>
  </si>
  <si>
    <t xml:space="preserve">Ubicación secundaria, baja rotación</t>
  </si>
  <si>
    <t xml:space="preserve">Ingresos brutos — Escenario BASE (USD)</t>
  </si>
  <si>
    <t xml:space="preserve">Edificio corporativo / hospital</t>
  </si>
  <si>
    <t xml:space="preserve">Ingresos brutos — Escenario OPTIMISTA (USD)</t>
  </si>
  <si>
    <t xml:space="preserve">Petrolera / hospital alta rotación</t>
  </si>
  <si>
    <t xml:space="preserve">COGS — costo de producto (% de ingresos)</t>
  </si>
  <si>
    <t xml:space="preserve">Margen bruto ~55% sobre retail</t>
  </si>
  <si>
    <t xml:space="preserve">Canon al locador (% de ingresos)</t>
  </si>
  <si>
    <t xml:space="preserve">Rango mercado: 10-20%</t>
  </si>
  <si>
    <t xml:space="preserve">Ingresos Brutos Neuquén — alícuota (%)</t>
  </si>
  <si>
    <t xml:space="preserve">DPR Neuquén Ley 3479 — microempresa</t>
  </si>
  <si>
    <t xml:space="preserve">Mantenimiento preventivo por máquina / mes (USD)</t>
  </si>
  <si>
    <t xml:space="preserve">Repuestos + desplazamiento técnico</t>
  </si>
  <si>
    <t xml:space="preserve">Logística reposición por máquina / mes (USD)</t>
  </si>
  <si>
    <t xml:space="preserve">Combustible + tiempo Agustín</t>
  </si>
  <si>
    <t xml:space="preserve">COSTOS FIJOS MENSUALES (USD)</t>
  </si>
  <si>
    <t xml:space="preserve">Contador / estudio contable</t>
  </si>
  <si>
    <t xml:space="preserve">Tercerizado</t>
  </si>
  <si>
    <t xml:space="preserve">Seguro de equipos</t>
  </si>
  <si>
    <t xml:space="preserve">Por flota completa</t>
  </si>
  <si>
    <t xml:space="preserve">Comunicaciones (teléfono, internet)</t>
  </si>
  <si>
    <t xml:space="preserve">Gastos varios / contingencia</t>
  </si>
  <si>
    <t xml:space="preserve">TOTAL COSTOS FIJOS MENSUALES (USD)</t>
  </si>
  <si>
    <t xml:space="preserve">Suma de fijos</t>
  </si>
  <si>
    <t xml:space="preserve">COSTOS ONE-TIME — CONSTITUCIÓN &amp; LEGAL (USD)</t>
  </si>
  <si>
    <t xml:space="preserve">Constitución SRL (honorarios + aranceles)</t>
  </si>
  <si>
    <t xml:space="preserve">Bconsultores.com.ar, ref. 2025</t>
  </si>
  <si>
    <t xml:space="preserve">Habilitación municipal Neuquén Capital</t>
  </si>
  <si>
    <t xml:space="preserve">Programa Habilita Gratis → puede ser $0</t>
  </si>
  <si>
    <t xml:space="preserve">Asesoría legal inicial (contratos, reg.)</t>
  </si>
  <si>
    <t xml:space="preserve">Honorarios abogado</t>
  </si>
  <si>
    <t xml:space="preserve">TOTAL COSTOS LEGALES ONE-TIME (USD)</t>
  </si>
  <si>
    <t xml:space="preserve">CAPITAL DE TRABAJO INICIAL</t>
  </si>
  <si>
    <t xml:space="preserve">Stock inicial por máquina (USD)</t>
  </si>
  <si>
    <t xml:space="preserve">Primer abastecimiento completo</t>
  </si>
  <si>
    <t xml:space="preserve">EQUIVALENCIAS EN PESOS (actualiza automáticamente con TC)</t>
  </si>
  <si>
    <t xml:space="preserve">Concepto (ARS)</t>
  </si>
  <si>
    <t xml:space="preserve">Valor en ARS</t>
  </si>
  <si>
    <t xml:space="preserve">Nota</t>
  </si>
  <si>
    <t xml:space="preserve">Revenue PESIMISTA / máq / mes (ARS)</t>
  </si>
  <si>
    <t xml:space="preserve">usd × TC (SUPUESTOS!B4)</t>
  </si>
  <si>
    <t xml:space="preserve">Revenue BASE / máq / mes (ARS)</t>
  </si>
  <si>
    <t xml:space="preserve">Revenue OPTIMISTA / máq / mes (ARS)</t>
  </si>
  <si>
    <t xml:space="preserve">Costos fijos mensuales totales (ARS)</t>
  </si>
  <si>
    <t xml:space="preserve">Inversión inicial neta 3 máqs China (ARS)</t>
  </si>
  <si>
    <t xml:space="preserve">Contribución neta / máq / mes — BASE (ARS)</t>
  </si>
  <si>
    <t xml:space="preserve">CF Neto mensual — 3 máqs BASE (ARS)</t>
  </si>
  <si>
    <t xml:space="preserve">Nota: Texto AZUL = inputs modificables. Fondo VIOLETA = valor en ARS (TC maestro). Texto NEGRO = fórmulas USD.</t>
  </si>
  <si>
    <t xml:space="preserve">VENDINS — COSTOS DE IMPORTACIÓN  (USD + ARS según TC maestro)</t>
  </si>
  <si>
    <t xml:space="preserve">2 MÁQUINAS</t>
  </si>
  <si>
    <t xml:space="preserve">3 MÁQUINAS</t>
  </si>
  <si>
    <t xml:space="preserve">4 MÁQUINAS</t>
  </si>
  <si>
    <t xml:space="preserve">Concepto</t>
  </si>
  <si>
    <t xml:space="preserve">China
(USD)</t>
  </si>
  <si>
    <t xml:space="preserve">China
(ARS)</t>
  </si>
  <si>
    <t xml:space="preserve">Italia
(USD)</t>
  </si>
  <si>
    <t xml:space="preserve">Italia
(ARS)</t>
  </si>
  <si>
    <t xml:space="preserve">ESCENARIO 2 MÁQUINAS</t>
  </si>
  <si>
    <t xml:space="preserve">China USD</t>
  </si>
  <si>
    <t xml:space="preserve">China ARS ×TC</t>
  </si>
  <si>
    <t xml:space="preserve">Italia USD</t>
  </si>
  <si>
    <t xml:space="preserve">Italia ARS ×TC</t>
  </si>
  <si>
    <t xml:space="preserve">FOB (USD)</t>
  </si>
  <si>
    <t xml:space="preserve">Flete LCL (USD)</t>
  </si>
  <si>
    <t xml:space="preserve">Seguro marítimo (USD)</t>
  </si>
  <si>
    <t xml:space="preserve">Valor CIF (USD)</t>
  </si>
  <si>
    <t xml:space="preserve">Arancel NCM 8476 (14%)</t>
  </si>
  <si>
    <t xml:space="preserve">IVA importación 21% — recuperable</t>
  </si>
  <si>
    <t xml:space="preserve">IVA adicional 10.5% — recuperable</t>
  </si>
  <si>
    <t xml:space="preserve">Derecho estadístico 0.5%</t>
  </si>
  <si>
    <t xml:space="preserve">Despachante de aduana (flat)</t>
  </si>
  <si>
    <t xml:space="preserve">TOTAL DESEMBOLSO IMPORTACIÓN (USD)</t>
  </si>
  <si>
    <t xml:space="preserve">  (−) IVA recuperable (crédito fiscal)</t>
  </si>
  <si>
    <t xml:space="preserve">  (+) Constitución legal SRL + habilitaciones</t>
  </si>
  <si>
    <t xml:space="preserve">  (+) Capital de trabajo inicial (2 × stock)</t>
  </si>
  <si>
    <t xml:space="preserve">INVERSIÓN INICIAL NETA (sin IVA recuperable)</t>
  </si>
  <si>
    <t xml:space="preserve">Costo promedio por máquina — neto (USD)</t>
  </si>
  <si>
    <t xml:space="preserve">ESCENARIO 3 MÁQUINAS</t>
  </si>
  <si>
    <t xml:space="preserve">  (+) Capital de trabajo inicial (3 × stock)</t>
  </si>
  <si>
    <t xml:space="preserve">ESCENARIO 4 MÁQUINAS</t>
  </si>
  <si>
    <t xml:space="preserve">  (+) Capital de trabajo inicial (4 × stock)</t>
  </si>
  <si>
    <t xml:space="preserve">Columnas VIOLETA = USD × TC (SUPUESTOS!B4). Modificar TC en SUPUESTOS para actualizar automáticamente.</t>
  </si>
  <si>
    <t xml:space="preserve">VENDINS — FLUJO DE CAJA MENSUAL (ESCENARIO BASE — 36 MESES)  |  USD + ARS</t>
  </si>
  <si>
    <t xml:space="preserve">Período</t>
  </si>
  <si>
    <t xml:space="preserve">Mes</t>
  </si>
  <si>
    <t xml:space="preserve">CF Neto
(USD)</t>
  </si>
  <si>
    <t xml:space="preserve">CF Acum.
(USD)</t>
  </si>
  <si>
    <t xml:space="preserve">CF Neto
(ARS ×TC)</t>
  </si>
  <si>
    <t xml:space="preserve">CF Acum.
(ARS ×TC)</t>
  </si>
  <si>
    <t xml:space="preserve">Inversión Inicial</t>
  </si>
  <si>
    <t xml:space="preserve">Mes 01</t>
  </si>
  <si>
    <t xml:space="preserve">Mes 02</t>
  </si>
  <si>
    <t xml:space="preserve">Mes 03</t>
  </si>
  <si>
    <t xml:space="preserve">Mes 04</t>
  </si>
  <si>
    <t xml:space="preserve">Mes 05</t>
  </si>
  <si>
    <t xml:space="preserve">Mes 06</t>
  </si>
  <si>
    <t xml:space="preserve">Mes 07</t>
  </si>
  <si>
    <t xml:space="preserve">Mes 08</t>
  </si>
  <si>
    <t xml:space="preserve">Mes 09</t>
  </si>
  <si>
    <t xml:space="preserve">Mes 10</t>
  </si>
  <si>
    <t xml:space="preserve">Mes 11</t>
  </si>
  <si>
    <t xml:space="preserve">Mes 12</t>
  </si>
  <si>
    <t xml:space="preserve">Mes 13</t>
  </si>
  <si>
    <t xml:space="preserve">Mes 14</t>
  </si>
  <si>
    <t xml:space="preserve">Mes 15</t>
  </si>
  <si>
    <t xml:space="preserve">Mes 16</t>
  </si>
  <si>
    <t xml:space="preserve">Mes 17</t>
  </si>
  <si>
    <t xml:space="preserve">Mes 18</t>
  </si>
  <si>
    <t xml:space="preserve">Mes 19</t>
  </si>
  <si>
    <t xml:space="preserve">Mes 20</t>
  </si>
  <si>
    <t xml:space="preserve">Mes 21</t>
  </si>
  <si>
    <t xml:space="preserve">Mes 22</t>
  </si>
  <si>
    <t xml:space="preserve">Mes 23</t>
  </si>
  <si>
    <t xml:space="preserve">Mes 24</t>
  </si>
  <si>
    <t xml:space="preserve">Mes 25</t>
  </si>
  <si>
    <t xml:space="preserve">Mes 26</t>
  </si>
  <si>
    <t xml:space="preserve">Mes 27</t>
  </si>
  <si>
    <t xml:space="preserve">Mes 28</t>
  </si>
  <si>
    <t xml:space="preserve">Mes 29</t>
  </si>
  <si>
    <t xml:space="preserve">Mes 30</t>
  </si>
  <si>
    <t xml:space="preserve">Mes 31</t>
  </si>
  <si>
    <t xml:space="preserve">Mes 32</t>
  </si>
  <si>
    <t xml:space="preserve">Mes 33</t>
  </si>
  <si>
    <t xml:space="preserve">Mes 34</t>
  </si>
  <si>
    <t xml:space="preserve">Mes 35</t>
  </si>
  <si>
    <t xml:space="preserve">Mes 36</t>
  </si>
  <si>
    <t xml:space="preserve">MÉTRICAS DEL FLUJO</t>
  </si>
  <si>
    <t xml:space="preserve">Métrica</t>
  </si>
  <si>
    <t xml:space="preserve">2 Máq (USD)</t>
  </si>
  <si>
    <t xml:space="preserve">2 Máq (ARS)</t>
  </si>
  <si>
    <t xml:space="preserve">3 Máq (USD)</t>
  </si>
  <si>
    <t xml:space="preserve">3 Máq (ARS)</t>
  </si>
  <si>
    <t xml:space="preserve">4 Máq (USD)</t>
  </si>
  <si>
    <t xml:space="preserve">4 Máq (ARS)</t>
  </si>
  <si>
    <t xml:space="preserve">TIR Mensual</t>
  </si>
  <si>
    <t xml:space="preserve">—</t>
  </si>
  <si>
    <t xml:space="preserve">TIR Anualizada</t>
  </si>
  <si>
    <t xml:space="preserve">VAN (WACC 35%, USD)</t>
  </si>
  <si>
    <t xml:space="preserve">Mes de Recupero (Payback)</t>
  </si>
  <si>
    <t xml:space="preserve">— ver USD →</t>
  </si>
  <si>
    <t xml:space="preserve">Columnas VIOLETA = USD × TC (SUPUESTOS!B4). Modificar TC en SUPUESTOS → todo se actualiza. Escenario BASE USD 600/máq/mes.</t>
  </si>
  <si>
    <t xml:space="preserve">VENDINS — INDICADORES FINANCIEROS: VAN / TIR / PAYBACK  |  USD + ARS</t>
  </si>
  <si>
    <t xml:space="preserve">MARGEN DE CONTRIBUCIÓN POR MÁQUINA — DESGLOSE MENSUAL</t>
  </si>
  <si>
    <t xml:space="preserve">PESIMISTA
$300/mes USD</t>
  </si>
  <si>
    <t xml:space="preserve">PES. ARS</t>
  </si>
  <si>
    <t xml:space="preserve">BASE
$600/mes USD</t>
  </si>
  <si>
    <t xml:space="preserve">BASE ARS</t>
  </si>
  <si>
    <t xml:space="preserve">OPTIMISTA
$1,200 USD</t>
  </si>
  <si>
    <t xml:space="preserve">OPT. ARS</t>
  </si>
  <si>
    <t xml:space="preserve">(+) Ingresos brutos / máquina</t>
  </si>
  <si>
    <t xml:space="preserve">(−) COGS (45%)</t>
  </si>
  <si>
    <t xml:space="preserve">(−) Canon locador (15%)</t>
  </si>
  <si>
    <t xml:space="preserve">(−) IB Neuquén (2%)</t>
  </si>
  <si>
    <t xml:space="preserve">(−) Mantenimiento</t>
  </si>
  <si>
    <t xml:space="preserve">(−) Logística</t>
  </si>
  <si>
    <t xml:space="preserve">contribución neta / máquina / mes</t>
  </si>
  <si>
    <t xml:space="preserve">MATRIZ DE ESCENARIOS: VAN — TIR — en USD y ARS (China)</t>
  </si>
  <si>
    <t xml:space="preserve">Escenario</t>
  </si>
  <si>
    <t xml:space="preserve">VAN (USD)</t>
  </si>
  <si>
    <t xml:space="preserve">TIR Anual</t>
  </si>
  <si>
    <t xml:space="preserve">VAN (ARS ×TC)</t>
  </si>
  <si>
    <t xml:space="preserve">PESIMISTA ($300/mes)</t>
  </si>
  <si>
    <t xml:space="preserve">BASE ($600/mes)</t>
  </si>
  <si>
    <t xml:space="preserve">OPTIMISTA ($1,200/mes)</t>
  </si>
  <si>
    <t xml:space="preserve">VAN columnas VIOLETA = VAN_USD × TC (SUPUESTOS!B4). TIR es adimensional (igual en USD y ARS). Modificar TC en SUPUESTOS para actualizar.</t>
  </si>
  <si>
    <t xml:space="preserve">VENDINS — PUNTO DE EQUILIBRIO  |  USD + ARS</t>
  </si>
  <si>
    <t xml:space="preserve">PUNTO DE EQUILIBRIO POR NÚMERO DE MÁQUINAS</t>
  </si>
  <si>
    <t xml:space="preserve">Fórmula</t>
  </si>
  <si>
    <t xml:space="preserve">USD</t>
  </si>
  <si>
    <t xml:space="preserve">ARS (×TC)</t>
  </si>
  <si>
    <t xml:space="preserve">Costos Fijos Mensuales Totales</t>
  </si>
  <si>
    <t xml:space="preserve">Contribución / máquina — BASE (USD/mes)</t>
  </si>
  <si>
    <t xml:space="preserve">Rev*(1-COGS-Canon-IB)-Mant-Log</t>
  </si>
  <si>
    <t xml:space="preserve">N° mínimo de máquinas (break-even)</t>
  </si>
  <si>
    <t xml:space="preserve">CF_Fijos / Contribución</t>
  </si>
  <si>
    <t xml:space="preserve">Ingresos totales mínimos / mes</t>
  </si>
  <si>
    <t xml:space="preserve">N_eq × Ingresos / máquina</t>
  </si>
  <si>
    <t xml:space="preserve">INGRESOS MÍNIMOS POR MÁQUINA (según N° de máquinas)</t>
  </si>
  <si>
    <t xml:space="preserve">N° Máquinas</t>
  </si>
  <si>
    <t xml:space="preserve">CF neto / mes (USD)</t>
  </si>
  <si>
    <t xml:space="preserve">Rev. mín. / máq (USD)</t>
  </si>
  <si>
    <t xml:space="preserve">Rev. mín. / máq (ARS ×TC)</t>
  </si>
  <si>
    <t xml:space="preserve">¿Base suficiente?</t>
  </si>
  <si>
    <t xml:space="preserve">1 máquina</t>
  </si>
  <si>
    <t xml:space="preserve">2 máquinas</t>
  </si>
  <si>
    <t xml:space="preserve">3 máquinas</t>
  </si>
  <si>
    <t xml:space="preserve">4 máquinas</t>
  </si>
  <si>
    <t xml:space="preserve">5 máquinas</t>
  </si>
  <si>
    <t xml:space="preserve">6 máquinas</t>
  </si>
  <si>
    <t xml:space="preserve">7 máquinas</t>
  </si>
  <si>
    <t xml:space="preserve">8 máquinas</t>
  </si>
  <si>
    <t xml:space="preserve">Columnas VIOLETA = USD × TC (SUPUESTOS!B4). Rev. mínima en ARS es el ingreso en pesos que debe generar cada máquina para cubrir costos.</t>
  </si>
  <si>
    <t xml:space="preserve">VENDINS — CHECKLIST REGULATORIO &amp; LEGAL — NEUQUÉN CAPITAL</t>
  </si>
  <si>
    <t xml:space="preserve">Trámite / Paso</t>
  </si>
  <si>
    <t xml:space="preserve">Organismo</t>
  </si>
  <si>
    <t xml:space="preserve">Costo Est. (USD)</t>
  </si>
  <si>
    <t xml:space="preserve">Plazo Est.</t>
  </si>
  <si>
    <t xml:space="preserve">Detalle / Notas</t>
  </si>
  <si>
    <t xml:space="preserve">FASE 0 — CONSTITUCIÓN SOCIETARIA</t>
  </si>
  <si>
    <t xml:space="preserve">1. Solicitar denominación social (nombre VENDINS)</t>
  </si>
  <si>
    <t xml:space="preserve">Registro Público Neuquén</t>
  </si>
  <si>
    <t xml:space="preserve">~30</t>
  </si>
  <si>
    <t xml:space="preserve">2-3 días</t>
  </si>
  <si>
    <t xml:space="preserve">Verificar disponibilidad. RPC Neuquén es provincial (NO IGJ nacional).</t>
  </si>
  <si>
    <t xml:space="preserve">2. Redacción del contrato social SRL / SAS</t>
  </si>
  <si>
    <t xml:space="preserve">Escribanía / Estudio jurídico</t>
  </si>
  <si>
    <t xml:space="preserve">~400</t>
  </si>
  <si>
    <t xml:space="preserve">3-5 días</t>
  </si>
  <si>
    <t xml:space="preserve">SAS (Ley 27.349): más rápida y barata para socio único. Objeto: 'comercialización mediante máquinas expendedoras automáticas'.</t>
  </si>
  <si>
    <t xml:space="preserve">3. Inscripción en Registro Público Neuquén</t>
  </si>
  <si>
    <t xml:space="preserve">Registro Público de Comercio Neuquén</t>
  </si>
  <si>
    <t xml:space="preserve">10-20 días</t>
  </si>
  <si>
    <t xml:space="preserve">Costo aprox. $450.000-600.000 ARS. Requiere contrato social, DNI, domicilio fiscal.</t>
  </si>
  <si>
    <t xml:space="preserve">4. Obtención de CUIT (SRL/SAS)</t>
  </si>
  <si>
    <t xml:space="preserve">AFIP / ARCA — afip.gob.ar</t>
  </si>
  <si>
    <t xml:space="preserve">0</t>
  </si>
  <si>
    <t xml:space="preserve">1-2 días online</t>
  </si>
  <si>
    <t xml:space="preserve">Clave fiscal nivel 3. Registrar domicilio fiscal en Neuquén Capital.</t>
  </si>
  <si>
    <t xml:space="preserve">FASE 1 — ALTA IMPOSITIVA NACIONAL (AFIP/ARCA)</t>
  </si>
  <si>
    <t xml:space="preserve">5. Alta como Responsable Inscripto (IVA)</t>
  </si>
  <si>
    <t xml:space="preserve">AFIP / ARCA</t>
  </si>
  <si>
    <t xml:space="preserve">Inmediato online</t>
  </si>
  <si>
    <t xml:space="preserve">Actividad: '4772 — Venta al por menor en comercios especializados'.</t>
  </si>
  <si>
    <t xml:space="preserve">6. Alta en Impuesto a las Ganancias</t>
  </si>
  <si>
    <t xml:space="preserve">SRL/SAS tributa Ganancias sobre resultados. Período fiscal anual.</t>
  </si>
  <si>
    <t xml:space="preserve">7. Inscripción Registro de Importadores/Exportadores</t>
  </si>
  <si>
    <t xml:space="preserve">AFIP / ARCA — Aduana</t>
  </si>
  <si>
    <t xml:space="preserve">3-10 días hábiles</t>
  </si>
  <si>
    <t xml:space="preserve">DDJJ 420/R vía Sistema Registral. Requisito para importar NCM 8476.</t>
  </si>
  <si>
    <t xml:space="preserve">FASE 2 — ALTA PROVINCIAL: INGRESOS BRUTOS NEUQUÉN</t>
  </si>
  <si>
    <t xml:space="preserve">8. Inscripción en Ingresos Brutos — DPR Neuquén</t>
  </si>
  <si>
    <t xml:space="preserve">Dirección Provincial de Rentas (DPR)</t>
  </si>
  <si>
    <t xml:space="preserve">1-3 días online</t>
  </si>
  <si>
    <t xml:space="preserve">Formulario CD01 WEB en dprneuquen.gob.ar. Alícuota 2% (microempresa &lt; $180M ARS).</t>
  </si>
  <si>
    <t xml:space="preserve">9. Inscripción en SIFERE para declaraciones mensuales</t>
  </si>
  <si>
    <t xml:space="preserve">AFIP / ARCA + DPR</t>
  </si>
  <si>
    <t xml:space="preserve">Inmediato</t>
  </si>
  <si>
    <t xml:space="preserve">DDJJ mensuales de Ingresos Brutos vía SIFERE.</t>
  </si>
  <si>
    <t xml:space="preserve">FASE 3 — HABILITACIÓN MUNICIPAL (MUNICIPIO DE NEUQUÉN)</t>
  </si>
  <si>
    <t xml:space="preserve">10. Consulta previa: habilitación de operador vs. locador</t>
  </si>
  <si>
    <t xml:space="preserve">Dir. de Comercio Municipio Neuquén</t>
  </si>
  <si>
    <t xml:space="preserve">1 día consulta</t>
  </si>
  <si>
    <t xml:space="preserve">CRÍTICO: determinar si las máquinas en locales de terceros requieren habilitación propia. Tel.: (0299) 449-0300.</t>
  </si>
  <si>
    <t xml:space="preserve">11. Solicitud de Licencia Comercial — Habilita Gratis</t>
  </si>
  <si>
    <t xml:space="preserve">Municipio de Neuquén Capital</t>
  </si>
  <si>
    <t xml:space="preserve">~0 (Habilita Gratis)</t>
  </si>
  <si>
    <t xml:space="preserve">15-30 días</t>
  </si>
  <si>
    <t xml:space="preserve">Programa municipal 2025: $0 para nuevas empresas + exenciones impositivas. Portal: neuquencapital.gov.ar.</t>
  </si>
  <si>
    <t xml:space="preserve">FASE 4 — IMPORTACIÓN DE MÁQUINAS (NCM 8476)</t>
  </si>
  <si>
    <t xml:space="preserve">12. Verificar LINA (Licencia No Automática) NCM 8476.89.00</t>
  </si>
  <si>
    <t xml:space="preserve">AFIP / ARCA Aduana</t>
  </si>
  <si>
    <t xml:space="preserve">Consulta previa</t>
  </si>
  <si>
    <t xml:space="preserve">Arancel 14%. Verificar si aplica LINA antes de emitir orden de compra. Plazo LINA: 60-90 días adicionales si aplica.</t>
  </si>
  <si>
    <t xml:space="preserve">13. Contratación de despachante de aduana</t>
  </si>
  <si>
    <t xml:space="preserve">CDA (Centro Despachantes Aduana)</t>
  </si>
  <si>
    <t xml:space="preserve">~700 USD</t>
  </si>
  <si>
    <t xml:space="preserve">cda.org.ar. Gestiona VUCEA, DJAI, SIMI y despacho completo.</t>
  </si>
  <si>
    <t xml:space="preserve">14. Apertura carta de crédito / transferencia al proveedor</t>
  </si>
  <si>
    <t xml:space="preserve">Banco propio + BCRA</t>
  </si>
  <si>
    <t xml:space="preserve">Var.</t>
  </si>
  <si>
    <t xml:space="preserve">3-10 días banco</t>
  </si>
  <si>
    <t xml:space="preserve">Montos &gt;USD 10.000: declaración AFIP. Ver COSTOS_IMPO para totales en ARS.</t>
  </si>
  <si>
    <t xml:space="preserve">15. Liquidación aduanera + pago de derechos + IVA</t>
  </si>
  <si>
    <t xml:space="preserve">Aduana Puerto Buenos Aires</t>
  </si>
  <si>
    <t xml:space="preserve">Ver COSTOS_IMPO</t>
  </si>
  <si>
    <t xml:space="preserve">5-15 días hábiles</t>
  </si>
  <si>
    <t xml:space="preserve">Arancel 14% (no recuperable) + IVA 21% (recuperable) + IVA adic 10.5% (recuperable) + estadística 0.5%.</t>
  </si>
  <si>
    <t xml:space="preserve">16. Flete interno Bs.As. → Neuquén (estimado ~USD 100/máq)</t>
  </si>
  <si>
    <t xml:space="preserve">Transportista regional</t>
  </si>
  <si>
    <t xml:space="preserve">~300 USD (3 máqs)</t>
  </si>
  <si>
    <t xml:space="preserve">Cotizar con LAPA Cargas, Vía Bariloche Cargas o similar.</t>
  </si>
  <si>
    <t xml:space="preserve">FASE 5 — CONTRATOS CON LOCADORES</t>
  </si>
  <si>
    <t xml:space="preserve">17. Modelo de contrato de ubicación de máquinas</t>
  </si>
  <si>
    <t xml:space="preserve">Asesor legal propio</t>
  </si>
  <si>
    <t xml:space="preserve">~300-500 USD</t>
  </si>
  <si>
    <t xml:space="preserve">Único</t>
  </si>
  <si>
    <t xml:space="preserve">Cláusulas: plazo mínimo 12m, canon %, responsabilidad daños, exclusividad, resolución anticipada. Impuesto de Sellos: 14‰ del valor total del contrato.</t>
  </si>
  <si>
    <t xml:space="preserve">18. Negociación con edificios corporativos petroleros</t>
  </si>
  <si>
    <t xml:space="preserve">RRHH / Administración edificio</t>
  </si>
  <si>
    <t xml:space="preserve">Semanas</t>
  </si>
  <si>
    <t xml:space="preserve">YPF (Edificio Aura), TotalEnergies, Torre Trade, Pluspetrol. Presentar propuesta formal con estadísticas de uso.</t>
  </si>
  <si>
    <t xml:space="preserve">19. Negociación con clínicas / hospitales privados</t>
  </si>
  <si>
    <t xml:space="preserve">Administración hospitalaria</t>
  </si>
  <si>
    <t xml:space="preserve">Neuquén Med Center, Clínica Pasteur. Hospitales públicos (Castro Rendón) requieren CODINEU (Etapa 2+).</t>
  </si>
  <si>
    <t xml:space="preserve">20. Negociación con Portal Patagonia Shopping</t>
  </si>
  <si>
    <t xml:space="preserve">Administración Portal Patagonia</t>
  </si>
  <si>
    <t xml:space="preserve">Juan Julián Lastra 2400. Shoppings suelen pedir canon % + mínimo garantizado.</t>
  </si>
  <si>
    <t xml:space="preserve">FASE 6 — SANIDAD Y FARMACIA OTC (ETAPA 2)</t>
  </si>
  <si>
    <t xml:space="preserve">21. Habilitación sanitaria ANMAT — productos envasados</t>
  </si>
  <si>
    <t xml:space="preserve">ANMAT / SENASA</t>
  </si>
  <si>
    <t xml:space="preserve">Consulta</t>
  </si>
  <si>
    <t xml:space="preserve">Máquinas de alimentos envasados (RNE/RNPA del fabricante). Verificar requisitos por tipo de producto.</t>
  </si>
  <si>
    <t xml:space="preserve">22. Consulta ANMAT y Colegio Farmacéuticos: OTC en vending</t>
  </si>
  <si>
    <t xml:space="preserve">ANMAT + Colegio Farmacéuticos NQN</t>
  </si>
  <si>
    <t xml:space="preserve">Reunión</t>
  </si>
  <si>
    <t xml:space="preserve">Zona gris regulatoria. Alternativa recomendada: para-farmacia (preservativos, tests embarazo, alcohol gel) sin clasificación de medicamento.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</si>
</sst>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.000%"/>
    <numFmt numFmtId="168" formatCode="\$#,##0"/>
    <numFmt numFmtId="169" formatCode="#,##0&quot; ARS&quot;"/>
    <numFmt numFmtId="170" formatCode="\$#,##0;&quot;($&quot;#,##0\);\-"/>
    <numFmt numFmtId="171" formatCode="#,##0&quot; ARS&quot;;\(#,##0&quot; ARS)&quot;;\-"/>
    <numFmt numFmtId="172" formatCode="0"/>
    <numFmt numFmtId="173" formatCode="0.0&quot; máq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44"/>
      <color rgb="FFFFFFFF"/>
      <name val="Arial"/>
      <family val="0"/>
      <charset val="1"/>
    </font>
    <font>
      <sz val="13"/>
      <color rgb="FFFFFFFF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6A1B9A"/>
      <name val="Arial"/>
      <family val="0"/>
      <charset val="1"/>
    </font>
    <font>
      <sz val="9"/>
      <color rgb="FF6A1B9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6A1B9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6A1B9A"/>
      <name val="Arial"/>
      <family val="0"/>
      <charset val="1"/>
    </font>
    <font>
      <sz val="10"/>
      <color rgb="FF0000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366092"/>
      </patternFill>
    </fill>
    <fill>
      <patternFill patternType="solid">
        <fgColor rgb="FFF3E5F5"/>
        <bgColor rgb="FFFFEBEE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4A148C"/>
        <bgColor rgb="FF6A1B9A"/>
      </patternFill>
    </fill>
    <fill>
      <patternFill patternType="solid">
        <fgColor rgb="FF366092"/>
        <bgColor rgb="FF2E75B6"/>
      </patternFill>
    </fill>
    <fill>
      <patternFill patternType="solid">
        <fgColor rgb="FFD6E4F7"/>
        <bgColor rgb="FFDDDDDD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375623"/>
        <bgColor rgb="FF333300"/>
      </patternFill>
    </fill>
    <fill>
      <patternFill patternType="solid">
        <fgColor rgb="FF843C0C"/>
        <bgColor rgb="FF993366"/>
      </patternFill>
    </fill>
    <fill>
      <patternFill patternType="solid">
        <fgColor rgb="FFFFEBEE"/>
        <bgColor rgb="FFF3E5F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6A1B9A"/>
      </left>
      <right style="medium">
        <color rgb="FF6A1B9A"/>
      </right>
      <top style="medium">
        <color rgb="FF6A1B9A"/>
      </top>
      <bottom style="medium">
        <color rgb="FF6A1B9A"/>
      </bottom>
      <diagonal/>
    </border>
    <border diagonalUp="false" diagonalDown="false">
      <left style="thin">
        <color rgb="FFCE93D8"/>
      </left>
      <right style="thin">
        <color rgb="FFCE93D8"/>
      </right>
      <top style="thin">
        <color rgb="FFCE93D8"/>
      </top>
      <bottom style="thin">
        <color rgb="FFCE93D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3" fillId="4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15" fillId="5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7" fontId="17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5" fillId="5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7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4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9" fillId="4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8" fontId="17" fillId="9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8" fontId="7" fillId="1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8" fontId="20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7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7" fillId="11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8" fontId="11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7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7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8" fillId="4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9" fillId="4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7" fillId="1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7" fillId="1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7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9" fillId="4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7" fillId="11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11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7" fillId="11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7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7" fillId="14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7" fillId="14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7" fillId="9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7" fillId="9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8" fontId="1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19" fillId="4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14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14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11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11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2" fillId="0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CCCCC"/>
      <rgbColor rgb="FF808080"/>
      <rgbColor rgb="FF9999FF"/>
      <rgbColor rgb="FF993366"/>
      <rgbColor rgb="FFFFFDE7"/>
      <rgbColor rgb="FFE8F5E9"/>
      <rgbColor rgb="FF4A148C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DDDDD"/>
      <rgbColor rgb="FFFFEBEE"/>
      <rgbColor rgb="FF99CCFF"/>
      <rgbColor rgb="FFFF99CC"/>
      <rgbColor rgb="FFCE93D8"/>
      <rgbColor rgb="FFF3E5F5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843C0C"/>
      <rgbColor rgb="FF993366"/>
      <rgbColor rgb="FF366092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9" min="3" style="1" width="16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60" hidden="false" customHeight="true" outlineLevel="0" collapsed="false">
      <c r="B5" s="2" t="s">
        <v>0</v>
      </c>
      <c r="C5" s="2"/>
      <c r="D5" s="2"/>
      <c r="E5" s="2"/>
      <c r="F5" s="2"/>
      <c r="G5" s="2"/>
      <c r="H5" s="2"/>
      <c r="I5" s="2"/>
    </row>
    <row r="6" customFormat="false" ht="9.75" hidden="false" customHeight="true" outlineLevel="0" collapsed="false"/>
    <row r="7" customFormat="false" ht="31.5" hidden="false" customHeight="true" outlineLevel="0" collapsed="false">
      <c r="B7" s="3" t="s">
        <v>1</v>
      </c>
      <c r="C7" s="3"/>
      <c r="D7" s="3"/>
      <c r="E7" s="3"/>
      <c r="F7" s="3"/>
      <c r="G7" s="3"/>
      <c r="H7" s="3"/>
      <c r="I7" s="3"/>
    </row>
    <row r="8" customFormat="false" ht="9.75" hidden="false" customHeight="true" outlineLevel="0" collapsed="false"/>
    <row r="9" customFormat="false" ht="21.75" hidden="false" customHeight="true" outlineLevel="0" collapsed="false">
      <c r="B9" s="4" t="s">
        <v>2</v>
      </c>
      <c r="C9" s="5" t="s">
        <v>3</v>
      </c>
    </row>
    <row r="10" customFormat="false" ht="21.75" hidden="false" customHeight="true" outlineLevel="0" collapsed="false">
      <c r="B10" s="4" t="s">
        <v>4</v>
      </c>
      <c r="C10" s="5" t="s">
        <v>5</v>
      </c>
    </row>
    <row r="11" customFormat="false" ht="21.75" hidden="false" customHeight="true" outlineLevel="0" collapsed="false">
      <c r="B11" s="4" t="s">
        <v>6</v>
      </c>
      <c r="C11" s="5" t="s">
        <v>7</v>
      </c>
    </row>
    <row r="12" customFormat="false" ht="21.75" hidden="false" customHeight="true" outlineLevel="0" collapsed="false">
      <c r="B12" s="4" t="s">
        <v>8</v>
      </c>
      <c r="C12" s="5" t="s">
        <v>9</v>
      </c>
    </row>
    <row r="13" customFormat="false" ht="21.75" hidden="false" customHeight="true" outlineLevel="0" collapsed="false">
      <c r="B13" s="4" t="s">
        <v>10</v>
      </c>
      <c r="C13" s="5" t="s">
        <v>11</v>
      </c>
    </row>
    <row r="14" customFormat="false" ht="21.75" hidden="false" customHeight="true" outlineLevel="0" collapsed="false">
      <c r="B14" s="4" t="s">
        <v>12</v>
      </c>
      <c r="C14" s="5" t="s">
        <v>13</v>
      </c>
    </row>
    <row r="15" customFormat="false" ht="9.75" hidden="false" customHeight="true" outlineLevel="0" collapsed="false"/>
    <row r="16" customFormat="false" ht="21.75" hidden="false" customHeight="true" outlineLevel="0" collapsed="false">
      <c r="B16" s="6" t="s">
        <v>14</v>
      </c>
      <c r="C16" s="6"/>
      <c r="D16" s="6"/>
      <c r="E16" s="6"/>
      <c r="F16" s="6"/>
      <c r="G16" s="6"/>
      <c r="H16" s="6"/>
      <c r="I16" s="6"/>
    </row>
    <row r="17" customFormat="false" ht="21.75" hidden="false" customHeight="true" outlineLevel="0" collapsed="false">
      <c r="B17" s="7" t="s">
        <v>15</v>
      </c>
      <c r="C17" s="7"/>
      <c r="D17" s="7"/>
      <c r="E17" s="7"/>
      <c r="F17" s="7"/>
      <c r="G17" s="7"/>
      <c r="H17" s="7"/>
      <c r="I17" s="7"/>
    </row>
    <row r="18" customFormat="false" ht="18" hidden="false" customHeight="true" outlineLevel="0" collapsed="false">
      <c r="B18" s="8" t="s">
        <v>16</v>
      </c>
      <c r="C18" s="9" t="s">
        <v>17</v>
      </c>
      <c r="D18" s="9"/>
      <c r="E18" s="9"/>
      <c r="F18" s="9"/>
      <c r="G18" s="9"/>
      <c r="H18" s="9"/>
      <c r="I18" s="9"/>
    </row>
    <row r="19" customFormat="false" ht="18" hidden="false" customHeight="true" outlineLevel="0" collapsed="false">
      <c r="B19" s="8" t="s">
        <v>18</v>
      </c>
      <c r="C19" s="9" t="s">
        <v>19</v>
      </c>
      <c r="D19" s="9"/>
      <c r="E19" s="9"/>
      <c r="F19" s="9"/>
      <c r="G19" s="9"/>
      <c r="H19" s="9"/>
      <c r="I19" s="9"/>
    </row>
    <row r="20" customFormat="false" ht="18" hidden="false" customHeight="true" outlineLevel="0" collapsed="false">
      <c r="B20" s="8" t="s">
        <v>20</v>
      </c>
      <c r="C20" s="9" t="s">
        <v>21</v>
      </c>
      <c r="D20" s="9"/>
      <c r="E20" s="9"/>
      <c r="F20" s="9"/>
      <c r="G20" s="9"/>
      <c r="H20" s="9"/>
      <c r="I20" s="9"/>
    </row>
    <row r="21" customFormat="false" ht="18" hidden="false" customHeight="true" outlineLevel="0" collapsed="false">
      <c r="B21" s="8" t="s">
        <v>22</v>
      </c>
      <c r="C21" s="9" t="s">
        <v>23</v>
      </c>
      <c r="D21" s="9"/>
      <c r="E21" s="9"/>
      <c r="F21" s="9"/>
      <c r="G21" s="9"/>
      <c r="H21" s="9"/>
      <c r="I21" s="9"/>
    </row>
    <row r="22" customFormat="false" ht="18" hidden="false" customHeight="true" outlineLevel="0" collapsed="false">
      <c r="B22" s="8" t="s">
        <v>24</v>
      </c>
      <c r="C22" s="9" t="s">
        <v>25</v>
      </c>
      <c r="D22" s="9"/>
      <c r="E22" s="9"/>
      <c r="F22" s="9"/>
      <c r="G22" s="9"/>
      <c r="H22" s="9"/>
      <c r="I22" s="9"/>
    </row>
    <row r="23" customFormat="false" ht="18" hidden="false" customHeight="true" outlineLevel="0" collapsed="false">
      <c r="B23" s="8" t="s">
        <v>26</v>
      </c>
      <c r="C23" s="9" t="s">
        <v>27</v>
      </c>
      <c r="D23" s="9"/>
      <c r="E23" s="9"/>
      <c r="F23" s="9"/>
      <c r="G23" s="9"/>
      <c r="H23" s="9"/>
      <c r="I23" s="9"/>
    </row>
  </sheetData>
  <mergeCells count="10">
    <mergeCell ref="B5:I5"/>
    <mergeCell ref="B7:I7"/>
    <mergeCell ref="B16:I16"/>
    <mergeCell ref="B17:I17"/>
    <mergeCell ref="C18:I18"/>
    <mergeCell ref="C19:I19"/>
    <mergeCell ref="C20:I20"/>
    <mergeCell ref="C21:I21"/>
    <mergeCell ref="C22:I22"/>
    <mergeCell ref="C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3"/>
  </cols>
  <sheetData>
    <row r="1" customFormat="false" ht="25.5" hidden="false" customHeight="true" outlineLevel="0" collapsed="false">
      <c r="A1" s="10" t="s">
        <v>28</v>
      </c>
      <c r="B1" s="10"/>
      <c r="C1" s="10"/>
      <c r="D1" s="10"/>
    </row>
    <row r="2" customFormat="false" ht="15" hidden="false" customHeight="true" outlineLevel="0" collapsed="false">
      <c r="A2" s="11" t="s">
        <v>29</v>
      </c>
      <c r="B2" s="11" t="s">
        <v>30</v>
      </c>
      <c r="C2" s="11" t="s">
        <v>31</v>
      </c>
    </row>
    <row r="3" customFormat="false" ht="18" hidden="false" customHeight="true" outlineLevel="0" collapsed="false">
      <c r="A3" s="7" t="s">
        <v>32</v>
      </c>
      <c r="B3" s="7"/>
      <c r="C3" s="7"/>
      <c r="D3" s="7"/>
    </row>
    <row r="4" customFormat="false" ht="21.75" hidden="false" customHeight="true" outlineLevel="0" collapsed="false">
      <c r="A4" s="12" t="s">
        <v>33</v>
      </c>
      <c r="B4" s="13" t="n">
        <v>1500</v>
      </c>
      <c r="C4" s="14" t="s">
        <v>34</v>
      </c>
    </row>
    <row r="5" customFormat="false" ht="15.75" hidden="false" customHeight="true" outlineLevel="0" collapsed="false">
      <c r="A5" s="15" t="s">
        <v>35</v>
      </c>
      <c r="B5" s="16" t="n">
        <v>0.35</v>
      </c>
      <c r="C5" s="17" t="s">
        <v>36</v>
      </c>
    </row>
    <row r="6" customFormat="false" ht="15.75" hidden="false" customHeight="true" outlineLevel="0" collapsed="false">
      <c r="A6" s="15" t="s">
        <v>37</v>
      </c>
      <c r="B6" s="16" t="n">
        <v>0.35</v>
      </c>
      <c r="C6" s="17" t="s">
        <v>38</v>
      </c>
    </row>
    <row r="7" customFormat="false" ht="15.75" hidden="false" customHeight="true" outlineLevel="0" collapsed="false">
      <c r="A7" s="15" t="s">
        <v>39</v>
      </c>
      <c r="B7" s="18" t="n">
        <f aca="false">(1+B6)^(1/12)-1</f>
        <v>0.0253240572484439</v>
      </c>
      <c r="C7" s="17" t="s">
        <v>40</v>
      </c>
    </row>
    <row r="8" customFormat="false" ht="15.75" hidden="false" customHeight="true" outlineLevel="0" collapsed="false">
      <c r="A8" s="15" t="s">
        <v>41</v>
      </c>
      <c r="B8" s="16" t="n">
        <v>0.21</v>
      </c>
      <c r="C8" s="17" t="s">
        <v>42</v>
      </c>
    </row>
    <row r="9" customFormat="false" ht="18" hidden="false" customHeight="true" outlineLevel="0" collapsed="false">
      <c r="A9" s="7" t="s">
        <v>43</v>
      </c>
      <c r="B9" s="7"/>
      <c r="C9" s="7"/>
      <c r="D9" s="7"/>
    </row>
    <row r="10" customFormat="false" ht="15.75" hidden="false" customHeight="true" outlineLevel="0" collapsed="false">
      <c r="A10" s="15" t="s">
        <v>44</v>
      </c>
      <c r="B10" s="16" t="n">
        <v>0.14</v>
      </c>
      <c r="C10" s="17" t="s">
        <v>45</v>
      </c>
    </row>
    <row r="11" customFormat="false" ht="15.75" hidden="false" customHeight="true" outlineLevel="0" collapsed="false">
      <c r="A11" s="15" t="s">
        <v>46</v>
      </c>
      <c r="B11" s="16" t="n">
        <v>0.21</v>
      </c>
      <c r="C11" s="17" t="s">
        <v>47</v>
      </c>
    </row>
    <row r="12" customFormat="false" ht="15.75" hidden="false" customHeight="true" outlineLevel="0" collapsed="false">
      <c r="A12" s="15" t="s">
        <v>48</v>
      </c>
      <c r="B12" s="16" t="n">
        <v>0.105</v>
      </c>
      <c r="C12" s="17" t="s">
        <v>47</v>
      </c>
    </row>
    <row r="13" customFormat="false" ht="15.75" hidden="false" customHeight="true" outlineLevel="0" collapsed="false">
      <c r="A13" s="15" t="s">
        <v>49</v>
      </c>
      <c r="B13" s="16" t="n">
        <v>0.005</v>
      </c>
      <c r="C13" s="17" t="s">
        <v>50</v>
      </c>
    </row>
    <row r="14" customFormat="false" ht="15.75" hidden="false" customHeight="true" outlineLevel="0" collapsed="false">
      <c r="A14" s="15" t="s">
        <v>51</v>
      </c>
      <c r="B14" s="19" t="n">
        <v>700</v>
      </c>
      <c r="C14" s="17" t="s">
        <v>52</v>
      </c>
    </row>
    <row r="15" customFormat="false" ht="15.75" hidden="false" customHeight="true" outlineLevel="0" collapsed="false">
      <c r="A15" s="15" t="s">
        <v>53</v>
      </c>
      <c r="B15" s="16" t="n">
        <v>0.015</v>
      </c>
      <c r="C15" s="17" t="s">
        <v>54</v>
      </c>
    </row>
    <row r="16" customFormat="false" ht="18" hidden="false" customHeight="true" outlineLevel="0" collapsed="false">
      <c r="A16" s="7" t="s">
        <v>55</v>
      </c>
      <c r="B16" s="7"/>
      <c r="C16" s="7"/>
      <c r="D16" s="7"/>
    </row>
    <row r="17" customFormat="false" ht="15.75" hidden="false" customHeight="true" outlineLevel="0" collapsed="false">
      <c r="A17" s="15" t="s">
        <v>56</v>
      </c>
      <c r="B17" s="19" t="n">
        <v>1800</v>
      </c>
      <c r="C17" s="17" t="s">
        <v>57</v>
      </c>
    </row>
    <row r="18" customFormat="false" ht="15.75" hidden="false" customHeight="true" outlineLevel="0" collapsed="false">
      <c r="A18" s="15" t="s">
        <v>58</v>
      </c>
      <c r="B18" s="19" t="n">
        <v>5500</v>
      </c>
      <c r="C18" s="17" t="s">
        <v>59</v>
      </c>
    </row>
    <row r="19" customFormat="false" ht="15.75" hidden="false" customHeight="true" outlineLevel="0" collapsed="false">
      <c r="A19" s="15" t="s">
        <v>60</v>
      </c>
      <c r="B19" s="19" t="n">
        <v>1200</v>
      </c>
      <c r="C19" s="17" t="s">
        <v>61</v>
      </c>
    </row>
    <row r="20" customFormat="false" ht="15.75" hidden="false" customHeight="true" outlineLevel="0" collapsed="false">
      <c r="A20" s="15" t="s">
        <v>62</v>
      </c>
      <c r="B20" s="19" t="n">
        <v>2200</v>
      </c>
      <c r="C20" s="17" t="s">
        <v>63</v>
      </c>
    </row>
    <row r="21" customFormat="false" ht="18" hidden="false" customHeight="true" outlineLevel="0" collapsed="false">
      <c r="A21" s="7" t="s">
        <v>64</v>
      </c>
      <c r="B21" s="7"/>
      <c r="C21" s="7"/>
      <c r="D21" s="7"/>
    </row>
    <row r="22" customFormat="false" ht="15.75" hidden="false" customHeight="true" outlineLevel="0" collapsed="false">
      <c r="A22" s="15" t="s">
        <v>65</v>
      </c>
      <c r="B22" s="19" t="n">
        <v>300</v>
      </c>
      <c r="C22" s="17" t="s">
        <v>66</v>
      </c>
    </row>
    <row r="23" customFormat="false" ht="15.75" hidden="false" customHeight="true" outlineLevel="0" collapsed="false">
      <c r="A23" s="15" t="s">
        <v>67</v>
      </c>
      <c r="B23" s="19" t="n">
        <v>600</v>
      </c>
      <c r="C23" s="17" t="s">
        <v>68</v>
      </c>
    </row>
    <row r="24" customFormat="false" ht="15.75" hidden="false" customHeight="true" outlineLevel="0" collapsed="false">
      <c r="A24" s="15" t="s">
        <v>69</v>
      </c>
      <c r="B24" s="19" t="n">
        <v>1200</v>
      </c>
      <c r="C24" s="17" t="s">
        <v>70</v>
      </c>
    </row>
    <row r="25" customFormat="false" ht="15.75" hidden="false" customHeight="true" outlineLevel="0" collapsed="false">
      <c r="A25" s="15" t="s">
        <v>71</v>
      </c>
      <c r="B25" s="16" t="n">
        <v>0.45</v>
      </c>
      <c r="C25" s="17" t="s">
        <v>72</v>
      </c>
    </row>
    <row r="26" customFormat="false" ht="15.75" hidden="false" customHeight="true" outlineLevel="0" collapsed="false">
      <c r="A26" s="15" t="s">
        <v>73</v>
      </c>
      <c r="B26" s="16" t="n">
        <v>0.15</v>
      </c>
      <c r="C26" s="17" t="s">
        <v>74</v>
      </c>
    </row>
    <row r="27" customFormat="false" ht="15.75" hidden="false" customHeight="true" outlineLevel="0" collapsed="false">
      <c r="A27" s="15" t="s">
        <v>75</v>
      </c>
      <c r="B27" s="16" t="n">
        <v>0.02</v>
      </c>
      <c r="C27" s="17" t="s">
        <v>76</v>
      </c>
    </row>
    <row r="28" customFormat="false" ht="15.75" hidden="false" customHeight="true" outlineLevel="0" collapsed="false">
      <c r="A28" s="15" t="s">
        <v>77</v>
      </c>
      <c r="B28" s="19" t="n">
        <v>35</v>
      </c>
      <c r="C28" s="17" t="s">
        <v>78</v>
      </c>
    </row>
    <row r="29" customFormat="false" ht="15.75" hidden="false" customHeight="true" outlineLevel="0" collapsed="false">
      <c r="A29" s="15" t="s">
        <v>79</v>
      </c>
      <c r="B29" s="19" t="n">
        <v>25</v>
      </c>
      <c r="C29" s="17" t="s">
        <v>80</v>
      </c>
    </row>
    <row r="30" customFormat="false" ht="18" hidden="false" customHeight="true" outlineLevel="0" collapsed="false">
      <c r="A30" s="7" t="s">
        <v>81</v>
      </c>
      <c r="B30" s="7"/>
      <c r="C30" s="7"/>
      <c r="D30" s="7"/>
    </row>
    <row r="31" customFormat="false" ht="15.75" hidden="false" customHeight="true" outlineLevel="0" collapsed="false">
      <c r="A31" s="15" t="s">
        <v>82</v>
      </c>
      <c r="B31" s="19" t="n">
        <v>50</v>
      </c>
      <c r="C31" s="17" t="s">
        <v>83</v>
      </c>
    </row>
    <row r="32" customFormat="false" ht="15.75" hidden="false" customHeight="true" outlineLevel="0" collapsed="false">
      <c r="A32" s="15" t="s">
        <v>84</v>
      </c>
      <c r="B32" s="19" t="n">
        <v>30</v>
      </c>
      <c r="C32" s="17" t="s">
        <v>85</v>
      </c>
    </row>
    <row r="33" customFormat="false" ht="15.75" hidden="false" customHeight="true" outlineLevel="0" collapsed="false">
      <c r="A33" s="15" t="s">
        <v>86</v>
      </c>
      <c r="B33" s="19" t="n">
        <v>15</v>
      </c>
    </row>
    <row r="34" customFormat="false" ht="15.75" hidden="false" customHeight="true" outlineLevel="0" collapsed="false">
      <c r="A34" s="15" t="s">
        <v>87</v>
      </c>
      <c r="B34" s="19" t="n">
        <v>20</v>
      </c>
    </row>
    <row r="35" customFormat="false" ht="15.75" hidden="false" customHeight="true" outlineLevel="0" collapsed="false">
      <c r="A35" s="15" t="s">
        <v>88</v>
      </c>
      <c r="B35" s="20" t="n">
        <f aca="false">B30+B31+B32+B33</f>
        <v>95</v>
      </c>
      <c r="C35" s="17" t="s">
        <v>89</v>
      </c>
    </row>
    <row r="36" customFormat="false" ht="18" hidden="false" customHeight="true" outlineLevel="0" collapsed="false">
      <c r="A36" s="7" t="s">
        <v>90</v>
      </c>
      <c r="B36" s="7"/>
      <c r="C36" s="7"/>
      <c r="D36" s="7"/>
    </row>
    <row r="37" customFormat="false" ht="15.75" hidden="false" customHeight="true" outlineLevel="0" collapsed="false">
      <c r="A37" s="15" t="s">
        <v>91</v>
      </c>
      <c r="B37" s="19" t="n">
        <v>950</v>
      </c>
      <c r="C37" s="17" t="s">
        <v>92</v>
      </c>
    </row>
    <row r="38" customFormat="false" ht="15.75" hidden="false" customHeight="true" outlineLevel="0" collapsed="false">
      <c r="A38" s="15" t="s">
        <v>93</v>
      </c>
      <c r="B38" s="19" t="n">
        <v>200</v>
      </c>
      <c r="C38" s="17" t="s">
        <v>94</v>
      </c>
    </row>
    <row r="39" customFormat="false" ht="15.75" hidden="false" customHeight="true" outlineLevel="0" collapsed="false">
      <c r="A39" s="15" t="s">
        <v>95</v>
      </c>
      <c r="B39" s="19" t="n">
        <v>500</v>
      </c>
      <c r="C39" s="17" t="s">
        <v>96</v>
      </c>
    </row>
    <row r="40" customFormat="false" ht="15.75" hidden="false" customHeight="true" outlineLevel="0" collapsed="false">
      <c r="A40" s="15" t="s">
        <v>97</v>
      </c>
      <c r="B40" s="20" t="n">
        <f aca="false">B36+B37+B38</f>
        <v>1150</v>
      </c>
    </row>
    <row r="41" customFormat="false" ht="18" hidden="false" customHeight="true" outlineLevel="0" collapsed="false">
      <c r="A41" s="7" t="s">
        <v>98</v>
      </c>
      <c r="B41" s="7"/>
      <c r="C41" s="7"/>
      <c r="D41" s="7"/>
    </row>
    <row r="42" customFormat="false" ht="15.75" hidden="false" customHeight="true" outlineLevel="0" collapsed="false">
      <c r="A42" s="15" t="s">
        <v>99</v>
      </c>
      <c r="B42" s="19" t="n">
        <v>300</v>
      </c>
      <c r="C42" s="17" t="s">
        <v>100</v>
      </c>
    </row>
    <row r="43" customFormat="false" ht="15" hidden="false" customHeight="false" outlineLevel="0" collapsed="false"/>
    <row r="44" customFormat="false" ht="19.5" hidden="false" customHeight="true" outlineLevel="0" collapsed="false">
      <c r="A44" s="21" t="s">
        <v>101</v>
      </c>
      <c r="B44" s="21"/>
      <c r="C44" s="21"/>
      <c r="D44" s="21"/>
    </row>
    <row r="45" customFormat="false" ht="18" hidden="false" customHeight="true" outlineLevel="0" collapsed="false">
      <c r="A45" s="22" t="s">
        <v>102</v>
      </c>
      <c r="B45" s="22" t="s">
        <v>103</v>
      </c>
      <c r="C45" s="22" t="s">
        <v>104</v>
      </c>
    </row>
    <row r="46" customFormat="false" ht="15.75" hidden="false" customHeight="true" outlineLevel="0" collapsed="false">
      <c r="A46" s="15" t="s">
        <v>105</v>
      </c>
      <c r="B46" s="23" t="n">
        <f aca="false">B22*SUPUESTOS!$B$4</f>
        <v>450000</v>
      </c>
      <c r="C46" s="24" t="s">
        <v>106</v>
      </c>
    </row>
    <row r="47" customFormat="false" ht="15.75" hidden="false" customHeight="true" outlineLevel="0" collapsed="false">
      <c r="A47" s="15" t="s">
        <v>107</v>
      </c>
      <c r="B47" s="23" t="n">
        <f aca="false">B23*SUPUESTOS!$B$4</f>
        <v>900000</v>
      </c>
      <c r="C47" s="24" t="s">
        <v>106</v>
      </c>
    </row>
    <row r="48" customFormat="false" ht="15.75" hidden="false" customHeight="true" outlineLevel="0" collapsed="false">
      <c r="A48" s="15" t="s">
        <v>108</v>
      </c>
      <c r="B48" s="23" t="n">
        <f aca="false">B24*SUPUESTOS!$B$4</f>
        <v>1800000</v>
      </c>
      <c r="C48" s="24" t="s">
        <v>106</v>
      </c>
    </row>
    <row r="49" customFormat="false" ht="15.75" hidden="false" customHeight="true" outlineLevel="0" collapsed="false">
      <c r="A49" s="15" t="s">
        <v>109</v>
      </c>
      <c r="B49" s="23" t="n">
        <f aca="false">B35*SUPUESTOS!$B$4</f>
        <v>142500</v>
      </c>
      <c r="C49" s="24" t="s">
        <v>106</v>
      </c>
    </row>
    <row r="50" customFormat="false" ht="15.75" hidden="false" customHeight="true" outlineLevel="0" collapsed="false">
      <c r="A50" s="15" t="s">
        <v>110</v>
      </c>
      <c r="B50" s="23" t="n">
        <f aca="false">(3*B17+B19+3*B17*B15+(3*B17+B19+3*B17*B15)*(1+B10)*B11+(3*B17+B19+3*B17*B15)*(1+B10)*B12+(3*B17+B19+3*B17*B15)*B13+B14-((3*B17+B19+3*B17*B15)*(1+B10))*(B11+B12)+B40+3*B42)*SUPUESTOS!$B$4</f>
        <v>14196607.5</v>
      </c>
      <c r="C50" s="24" t="s">
        <v>106</v>
      </c>
    </row>
    <row r="51" customFormat="false" ht="15.75" hidden="false" customHeight="true" outlineLevel="0" collapsed="false">
      <c r="A51" s="15" t="s">
        <v>111</v>
      </c>
      <c r="B51" s="23" t="n">
        <f aca="false">(B23*(1-B25-B26-B27)-B28-B29)*SUPUESTOS!$B$4</f>
        <v>252000</v>
      </c>
      <c r="C51" s="24" t="s">
        <v>106</v>
      </c>
    </row>
    <row r="52" customFormat="false" ht="15.75" hidden="false" customHeight="true" outlineLevel="0" collapsed="false">
      <c r="A52" s="15" t="s">
        <v>112</v>
      </c>
      <c r="B52" s="23" t="n">
        <f aca="false">(3*(B23*(1-B25-B26-B27)-B28-B29)-B35)*SUPUESTOS!$B$4</f>
        <v>613500</v>
      </c>
      <c r="C52" s="24" t="s">
        <v>106</v>
      </c>
    </row>
    <row r="53" customFormat="false" ht="15" hidden="false" customHeight="false" outlineLevel="0" collapsed="false"/>
    <row r="54" customFormat="false" ht="15" hidden="false" customHeight="true" outlineLevel="0" collapsed="false">
      <c r="A54" s="25" t="s">
        <v>113</v>
      </c>
    </row>
  </sheetData>
  <mergeCells count="9">
    <mergeCell ref="A1:D1"/>
    <mergeCell ref="A3:D3"/>
    <mergeCell ref="A9:D9"/>
    <mergeCell ref="A16:D16"/>
    <mergeCell ref="A21:D21"/>
    <mergeCell ref="A30:D30"/>
    <mergeCell ref="A36:D36"/>
    <mergeCell ref="A41:D41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"/>
    <col collapsed="false" customWidth="true" hidden="false" outlineLevel="0" max="14" min="3" style="1" width="16"/>
  </cols>
  <sheetData>
    <row r="1" customFormat="false" ht="25.5" hidden="false" customHeight="true" outlineLevel="0" collapsed="false">
      <c r="A1" s="10" t="s">
        <v>114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8" hidden="false" customHeight="true" outlineLevel="0" collapsed="false">
      <c r="C2" s="26" t="s">
        <v>115</v>
      </c>
      <c r="D2" s="26"/>
      <c r="E2" s="26"/>
      <c r="F2" s="26"/>
      <c r="G2" s="26" t="s">
        <v>116</v>
      </c>
      <c r="H2" s="26"/>
      <c r="I2" s="26"/>
      <c r="J2" s="26"/>
      <c r="K2" s="26" t="s">
        <v>117</v>
      </c>
      <c r="L2" s="26"/>
      <c r="M2" s="26"/>
      <c r="N2" s="26"/>
    </row>
    <row r="3" customFormat="false" ht="21.75" hidden="false" customHeight="true" outlineLevel="0" collapsed="false">
      <c r="A3" s="11" t="s">
        <v>118</v>
      </c>
      <c r="C3" s="27" t="s">
        <v>119</v>
      </c>
      <c r="D3" s="22" t="s">
        <v>120</v>
      </c>
      <c r="E3" s="28" t="s">
        <v>121</v>
      </c>
      <c r="F3" s="22" t="s">
        <v>122</v>
      </c>
      <c r="G3" s="27" t="s">
        <v>119</v>
      </c>
      <c r="H3" s="22" t="s">
        <v>120</v>
      </c>
      <c r="I3" s="28" t="s">
        <v>121</v>
      </c>
      <c r="J3" s="22" t="s">
        <v>122</v>
      </c>
      <c r="K3" s="27" t="s">
        <v>119</v>
      </c>
      <c r="L3" s="22" t="s">
        <v>120</v>
      </c>
      <c r="M3" s="28" t="s">
        <v>121</v>
      </c>
      <c r="N3" s="22" t="s">
        <v>122</v>
      </c>
    </row>
    <row r="4" customFormat="false" ht="19.5" hidden="false" customHeight="true" outlineLevel="0" collapsed="false">
      <c r="A4" s="7" t="s">
        <v>123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5" hidden="false" customHeight="true" outlineLevel="0" collapsed="false">
      <c r="A5" s="29" t="s">
        <v>118</v>
      </c>
      <c r="C5" s="27" t="s">
        <v>124</v>
      </c>
      <c r="D5" s="22" t="s">
        <v>125</v>
      </c>
      <c r="E5" s="28" t="s">
        <v>126</v>
      </c>
      <c r="F5" s="22" t="s">
        <v>127</v>
      </c>
    </row>
    <row r="6" customFormat="false" ht="15.75" hidden="false" customHeight="true" outlineLevel="0" collapsed="false">
      <c r="A6" s="15" t="s">
        <v>128</v>
      </c>
      <c r="C6" s="30" t="n">
        <f aca="false">2*SUPUESTOS!B17</f>
        <v>3600</v>
      </c>
      <c r="D6" s="31" t="n">
        <f aca="false">C6*SUPUESTOS!$B$4</f>
        <v>5400000</v>
      </c>
      <c r="E6" s="30" t="n">
        <f aca="false">2*SUPUESTOS!B18</f>
        <v>11000</v>
      </c>
      <c r="F6" s="31" t="n">
        <f aca="false">E6*SUPUESTOS!$B$4</f>
        <v>16500000</v>
      </c>
    </row>
    <row r="7" customFormat="false" ht="15.75" hidden="false" customHeight="true" outlineLevel="0" collapsed="false">
      <c r="A7" s="15" t="s">
        <v>129</v>
      </c>
      <c r="C7" s="30" t="n">
        <f aca="false">SUPUESTOS!B19</f>
        <v>1200</v>
      </c>
      <c r="D7" s="31" t="n">
        <f aca="false">C7*SUPUESTOS!$B$4</f>
        <v>1800000</v>
      </c>
      <c r="E7" s="30" t="n">
        <f aca="false">SUPUESTOS!B20</f>
        <v>2200</v>
      </c>
      <c r="F7" s="31" t="n">
        <f aca="false">E7*SUPUESTOS!$B$4</f>
        <v>3300000</v>
      </c>
    </row>
    <row r="8" customFormat="false" ht="15.75" hidden="false" customHeight="true" outlineLevel="0" collapsed="false">
      <c r="A8" s="15" t="s">
        <v>130</v>
      </c>
      <c r="C8" s="30" t="n">
        <f aca="false">2*SUPUESTOS!B17*SUPUESTOS!B15</f>
        <v>54</v>
      </c>
      <c r="D8" s="31" t="n">
        <f aca="false">C8*SUPUESTOS!$B$4</f>
        <v>81000</v>
      </c>
      <c r="E8" s="30" t="n">
        <f aca="false">2*SUPUESTOS!B18*SUPUESTOS!B15</f>
        <v>165</v>
      </c>
      <c r="F8" s="31" t="n">
        <f aca="false">E8*SUPUESTOS!$B$4</f>
        <v>247500</v>
      </c>
    </row>
    <row r="9" customFormat="false" ht="15.75" hidden="false" customHeight="true" outlineLevel="0" collapsed="false">
      <c r="A9" s="32" t="s">
        <v>131</v>
      </c>
      <c r="C9" s="33" t="n">
        <f aca="false">2*SUPUESTOS!B17+SUPUESTOS!B19+2*SUPUESTOS!B17*SUPUESTOS!B15</f>
        <v>4854</v>
      </c>
      <c r="D9" s="23" t="n">
        <f aca="false">C9*SUPUESTOS!$B$4</f>
        <v>7281000</v>
      </c>
      <c r="E9" s="33" t="n">
        <f aca="false">2*SUPUESTOS!B18+SUPUESTOS!B20+2*SUPUESTOS!B18*SUPUESTOS!B15</f>
        <v>13365</v>
      </c>
      <c r="F9" s="23" t="n">
        <f aca="false">E9*SUPUESTOS!$B$4</f>
        <v>20047500</v>
      </c>
    </row>
    <row r="10" customFormat="false" ht="15.75" hidden="false" customHeight="true" outlineLevel="0" collapsed="false">
      <c r="A10" s="15" t="s">
        <v>132</v>
      </c>
      <c r="C10" s="30" t="n">
        <f aca="false">(2*SUPUESTOS!B17+SUPUESTOS!B19+2*SUPUESTOS!B17*SUPUESTOS!B15)*SUPUESTOS!B10</f>
        <v>679.56</v>
      </c>
      <c r="D10" s="31" t="n">
        <f aca="false">C10*SUPUESTOS!$B$4</f>
        <v>1019340</v>
      </c>
      <c r="E10" s="30" t="n">
        <f aca="false">(2*SUPUESTOS!B18+SUPUESTOS!B20+2*SUPUESTOS!B18*SUPUESTOS!B15)*SUPUESTOS!B10</f>
        <v>1871.1</v>
      </c>
      <c r="F10" s="31" t="n">
        <f aca="false">E10*SUPUESTOS!$B$4</f>
        <v>2806650</v>
      </c>
    </row>
    <row r="11" customFormat="false" ht="15.75" hidden="false" customHeight="true" outlineLevel="0" collapsed="false">
      <c r="A11" s="34" t="s">
        <v>133</v>
      </c>
      <c r="C11" s="35" t="n">
        <f aca="false">(2*SUPUESTOS!B17+SUPUESTOS!B19+2*SUPUESTOS!B17*SUPUESTOS!B15)*(1+SUPUESTOS!B10)*SUPUESTOS!B11</f>
        <v>1162.0476</v>
      </c>
      <c r="D11" s="31" t="n">
        <f aca="false">C11*SUPUESTOS!$B$4</f>
        <v>1743071.4</v>
      </c>
      <c r="E11" s="35" t="n">
        <f aca="false">(2*SUPUESTOS!B18+SUPUESTOS!B20+2*SUPUESTOS!B18*SUPUESTOS!B15)*(1+SUPUESTOS!B10)*SUPUESTOS!B11</f>
        <v>3199.581</v>
      </c>
      <c r="F11" s="31" t="n">
        <f aca="false">E11*SUPUESTOS!$B$4</f>
        <v>4799371.5</v>
      </c>
    </row>
    <row r="12" customFormat="false" ht="15.75" hidden="false" customHeight="true" outlineLevel="0" collapsed="false">
      <c r="A12" s="34" t="s">
        <v>134</v>
      </c>
      <c r="C12" s="35" t="n">
        <f aca="false">(2*SUPUESTOS!B17+SUPUESTOS!B19+2*SUPUESTOS!B17*SUPUESTOS!B15)*(1+SUPUESTOS!B10)*SUPUESTOS!B12</f>
        <v>581.0238</v>
      </c>
      <c r="D12" s="31" t="n">
        <f aca="false">C12*SUPUESTOS!$B$4</f>
        <v>871535.7</v>
      </c>
      <c r="E12" s="35" t="n">
        <f aca="false">(2*SUPUESTOS!B18+SUPUESTOS!B20+2*SUPUESTOS!B18*SUPUESTOS!B15)*(1+SUPUESTOS!B10)*SUPUESTOS!B12</f>
        <v>1599.7905</v>
      </c>
      <c r="F12" s="31" t="n">
        <f aca="false">E12*SUPUESTOS!$B$4</f>
        <v>2399685.75</v>
      </c>
    </row>
    <row r="13" customFormat="false" ht="15.75" hidden="false" customHeight="true" outlineLevel="0" collapsed="false">
      <c r="A13" s="15" t="s">
        <v>135</v>
      </c>
      <c r="C13" s="30" t="n">
        <f aca="false">(2*SUPUESTOS!B17+SUPUESTOS!B19+2*SUPUESTOS!B17*SUPUESTOS!B15)*SUPUESTOS!B13</f>
        <v>24.27</v>
      </c>
      <c r="D13" s="31" t="n">
        <f aca="false">C13*SUPUESTOS!$B$4</f>
        <v>36405</v>
      </c>
      <c r="E13" s="30" t="n">
        <f aca="false">(2*SUPUESTOS!B18+SUPUESTOS!B20+2*SUPUESTOS!B18*SUPUESTOS!B15)*SUPUESTOS!B13</f>
        <v>66.825</v>
      </c>
      <c r="F13" s="31" t="n">
        <f aca="false">E13*SUPUESTOS!$B$4</f>
        <v>100237.5</v>
      </c>
    </row>
    <row r="14" customFormat="false" ht="15.75" hidden="false" customHeight="true" outlineLevel="0" collapsed="false">
      <c r="A14" s="15" t="s">
        <v>136</v>
      </c>
      <c r="C14" s="30" t="n">
        <f aca="false">SUPUESTOS!B14</f>
        <v>700</v>
      </c>
      <c r="D14" s="31" t="n">
        <f aca="false">C14*SUPUESTOS!$B$4</f>
        <v>1050000</v>
      </c>
      <c r="E14" s="30" t="n">
        <f aca="false">SUPUESTOS!B14</f>
        <v>700</v>
      </c>
      <c r="F14" s="31" t="n">
        <f aca="false">E14*SUPUESTOS!$B$4</f>
        <v>1050000</v>
      </c>
    </row>
    <row r="15" customFormat="false" ht="18" hidden="false" customHeight="true" outlineLevel="0" collapsed="false">
      <c r="A15" s="36" t="s">
        <v>137</v>
      </c>
      <c r="C15" s="33" t="n">
        <f aca="false">2*SUPUESTOS!B17+SUPUESTOS!B19+2*SUPUESTOS!B17*SUPUESTOS!B15+(2*SUPUESTOS!B17+SUPUESTOS!B19+2*SUPUESTOS!B17*SUPUESTOS!B15)*SUPUESTOS!B10+(2*SUPUESTOS!B17+SUPUESTOS!B19+2*SUPUESTOS!B17*SUPUESTOS!B15)*(1+SUPUESTOS!B10)*SUPUESTOS!B11+(2*SUPUESTOS!B17+SUPUESTOS!B19+2*SUPUESTOS!B17*SUPUESTOS!B15)*(1+SUPUESTOS!B10)*SUPUESTOS!B12+(2*SUPUESTOS!B17+SUPUESTOS!B19+2*SUPUESTOS!B17*SUPUESTOS!B15)*SUPUESTOS!B13+SUPUESTOS!B14</f>
        <v>8000.9014</v>
      </c>
      <c r="D15" s="23" t="n">
        <f aca="false">C15*SUPUESTOS!$B$4</f>
        <v>12001352.1</v>
      </c>
      <c r="E15" s="33" t="n">
        <f aca="false">2*SUPUESTOS!B18+SUPUESTOS!B20+2*SUPUESTOS!B18*SUPUESTOS!B15+(2*SUPUESTOS!B18+SUPUESTOS!B20+2*SUPUESTOS!B18*SUPUESTOS!B15)*SUPUESTOS!B10+(2*SUPUESTOS!B18+SUPUESTOS!B20+2*SUPUESTOS!B18*SUPUESTOS!B15)*(1+SUPUESTOS!B10)*SUPUESTOS!B11+(2*SUPUESTOS!B18+SUPUESTOS!B20+2*SUPUESTOS!B18*SUPUESTOS!B15)*(1+SUPUESTOS!B10)*SUPUESTOS!B12+(2*SUPUESTOS!B18+SUPUESTOS!B20+2*SUPUESTOS!B18*SUPUESTOS!B15)*SUPUESTOS!B13+SUPUESTOS!B14</f>
        <v>20802.2965</v>
      </c>
      <c r="F15" s="23" t="n">
        <f aca="false">E15*SUPUESTOS!$B$4</f>
        <v>31203444.75</v>
      </c>
    </row>
    <row r="16" customFormat="false" ht="15.75" hidden="false" customHeight="true" outlineLevel="0" collapsed="false">
      <c r="A16" s="37" t="s">
        <v>138</v>
      </c>
      <c r="C16" s="38" t="n">
        <f aca="false">(2*SUPUESTOS!B17+SUPUESTOS!B19+2*SUPUESTOS!B17*SUPUESTOS!B15)*(1+SUPUESTOS!B10)*(SUPUESTOS!B11+SUPUESTOS!B12)</f>
        <v>1743.0714</v>
      </c>
      <c r="D16" s="31" t="n">
        <f aca="false">C16*SUPUESTOS!$B$4</f>
        <v>2614607.1</v>
      </c>
      <c r="E16" s="38" t="n">
        <f aca="false">(2*SUPUESTOS!B18+SUPUESTOS!B20+2*SUPUESTOS!B18*SUPUESTOS!B15)*(1+SUPUESTOS!B10)*(SUPUESTOS!B11+SUPUESTOS!B12)</f>
        <v>4799.3715</v>
      </c>
      <c r="F16" s="31" t="n">
        <f aca="false">E16*SUPUESTOS!$B$4</f>
        <v>7199057.25</v>
      </c>
    </row>
    <row r="17" customFormat="false" ht="15.75" hidden="false" customHeight="true" outlineLevel="0" collapsed="false">
      <c r="A17" s="39" t="s">
        <v>139</v>
      </c>
      <c r="C17" s="30" t="n">
        <f aca="false">SUPUESTOS!$B$40</f>
        <v>1150</v>
      </c>
      <c r="D17" s="31" t="n">
        <f aca="false">C17*SUPUESTOS!$B$4</f>
        <v>1725000</v>
      </c>
      <c r="E17" s="30" t="n">
        <f aca="false">SUPUESTOS!$B$40</f>
        <v>1150</v>
      </c>
      <c r="F17" s="31" t="n">
        <f aca="false">E17*SUPUESTOS!$B$4</f>
        <v>1725000</v>
      </c>
    </row>
    <row r="18" customFormat="false" ht="15.75" hidden="false" customHeight="true" outlineLevel="0" collapsed="false">
      <c r="A18" s="39" t="s">
        <v>140</v>
      </c>
      <c r="C18" s="30" t="n">
        <f aca="false">2*SUPUESTOS!$B$42</f>
        <v>600</v>
      </c>
      <c r="D18" s="31" t="n">
        <f aca="false">C18*SUPUESTOS!$B$4</f>
        <v>900000</v>
      </c>
      <c r="E18" s="30" t="n">
        <f aca="false">2*SUPUESTOS!$B$42</f>
        <v>600</v>
      </c>
      <c r="F18" s="31" t="n">
        <f aca="false">E18*SUPUESTOS!$B$4</f>
        <v>900000</v>
      </c>
    </row>
    <row r="19" customFormat="false" ht="19.5" hidden="false" customHeight="true" outlineLevel="0" collapsed="false">
      <c r="A19" s="40" t="s">
        <v>141</v>
      </c>
      <c r="C19" s="41" t="n">
        <f aca="false">2*SUPUESTOS!B17+SUPUESTOS!B19+2*SUPUESTOS!B17*SUPUESTOS!B15+(2*SUPUESTOS!B17+SUPUESTOS!B19+2*SUPUESTOS!B17*SUPUESTOS!B15)*SUPUESTOS!B10+(2*SUPUESTOS!B17+SUPUESTOS!B19+2*SUPUESTOS!B17*SUPUESTOS!B15)*(1+SUPUESTOS!B10)*SUPUESTOS!B11+(2*SUPUESTOS!B17+SUPUESTOS!B19+2*SUPUESTOS!B17*SUPUESTOS!B15)*(1+SUPUESTOS!B10)*SUPUESTOS!B12+(2*SUPUESTOS!B17+SUPUESTOS!B19+2*SUPUESTOS!B17*SUPUESTOS!B15)*SUPUESTOS!B13+SUPUESTOS!B14-((2*SUPUESTOS!B17+SUPUESTOS!B19+2*SUPUESTOS!B17*SUPUESTOS!B15)*(1+SUPUESTOS!B10)*(SUPUESTOS!B11+SUPUESTOS!B12))+SUPUESTOS!$B$40+2*SUPUESTOS!$B$42</f>
        <v>8007.83</v>
      </c>
      <c r="D19" s="23" t="n">
        <f aca="false">C19*SUPUESTOS!$B$4</f>
        <v>12011745</v>
      </c>
      <c r="E19" s="41" t="n">
        <f aca="false">2*SUPUESTOS!B18+SUPUESTOS!B20+2*SUPUESTOS!B18*SUPUESTOS!B15+(2*SUPUESTOS!B18+SUPUESTOS!B20+2*SUPUESTOS!B18*SUPUESTOS!B15)*SUPUESTOS!B10+(2*SUPUESTOS!B18+SUPUESTOS!B20+2*SUPUESTOS!B18*SUPUESTOS!B15)*(1+SUPUESTOS!B10)*SUPUESTOS!B11+(2*SUPUESTOS!B18+SUPUESTOS!B20+2*SUPUESTOS!B18*SUPUESTOS!B15)*(1+SUPUESTOS!B10)*SUPUESTOS!B12+(2*SUPUESTOS!B18+SUPUESTOS!B20+2*SUPUESTOS!B18*SUPUESTOS!B15)*SUPUESTOS!B13+SUPUESTOS!B14-((2*SUPUESTOS!B18+SUPUESTOS!B20+2*SUPUESTOS!B18*SUPUESTOS!B15)*(1+SUPUESTOS!B10)*(SUPUESTOS!B11+SUPUESTOS!B12))+SUPUESTOS!$B$40+2*SUPUESTOS!$B$42</f>
        <v>17752.925</v>
      </c>
      <c r="F19" s="23" t="n">
        <f aca="false">E19*SUPUESTOS!$B$4</f>
        <v>26629387.5</v>
      </c>
    </row>
    <row r="20" customFormat="false" ht="15.75" hidden="false" customHeight="true" outlineLevel="0" collapsed="false">
      <c r="A20" s="42" t="s">
        <v>142</v>
      </c>
      <c r="C20" s="43" t="n">
        <f aca="false">C19/2</f>
        <v>4003.915</v>
      </c>
      <c r="D20" s="31" t="n">
        <f aca="false">C20*SUPUESTOS!$B$4</f>
        <v>6005872.5</v>
      </c>
      <c r="E20" s="43" t="n">
        <f aca="false">E19/2</f>
        <v>8876.4625</v>
      </c>
      <c r="F20" s="31" t="n">
        <f aca="false">E20*SUPUESTOS!$B$4</f>
        <v>13314693.75</v>
      </c>
    </row>
    <row r="21" customFormat="false" ht="15" hidden="false" customHeight="false" outlineLevel="0" collapsed="false"/>
    <row r="22" customFormat="false" ht="19.5" hidden="false" customHeight="true" outlineLevel="0" collapsed="false">
      <c r="A22" s="7" t="s">
        <v>143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5" hidden="false" customHeight="true" outlineLevel="0" collapsed="false">
      <c r="A23" s="29" t="s">
        <v>118</v>
      </c>
      <c r="G23" s="27" t="s">
        <v>124</v>
      </c>
      <c r="H23" s="22" t="s">
        <v>125</v>
      </c>
      <c r="I23" s="28" t="s">
        <v>126</v>
      </c>
      <c r="J23" s="22" t="s">
        <v>127</v>
      </c>
    </row>
    <row r="24" customFormat="false" ht="15.75" hidden="false" customHeight="true" outlineLevel="0" collapsed="false">
      <c r="A24" s="15" t="s">
        <v>128</v>
      </c>
      <c r="G24" s="30" t="n">
        <f aca="false">3*SUPUESTOS!B17</f>
        <v>5400</v>
      </c>
      <c r="H24" s="31" t="n">
        <f aca="false">G24*SUPUESTOS!$B$4</f>
        <v>8100000</v>
      </c>
      <c r="I24" s="30" t="n">
        <f aca="false">3*SUPUESTOS!B18</f>
        <v>16500</v>
      </c>
      <c r="J24" s="31" t="n">
        <f aca="false">I24*SUPUESTOS!$B$4</f>
        <v>24750000</v>
      </c>
    </row>
    <row r="25" customFormat="false" ht="15.75" hidden="false" customHeight="true" outlineLevel="0" collapsed="false">
      <c r="A25" s="15" t="s">
        <v>129</v>
      </c>
      <c r="G25" s="30" t="n">
        <f aca="false">SUPUESTOS!B19</f>
        <v>1200</v>
      </c>
      <c r="H25" s="31" t="n">
        <f aca="false">G25*SUPUESTOS!$B$4</f>
        <v>1800000</v>
      </c>
      <c r="I25" s="30" t="n">
        <f aca="false">SUPUESTOS!B20</f>
        <v>2200</v>
      </c>
      <c r="J25" s="31" t="n">
        <f aca="false">I25*SUPUESTOS!$B$4</f>
        <v>3300000</v>
      </c>
    </row>
    <row r="26" customFormat="false" ht="15.75" hidden="false" customHeight="true" outlineLevel="0" collapsed="false">
      <c r="A26" s="15" t="s">
        <v>130</v>
      </c>
      <c r="G26" s="30" t="n">
        <f aca="false">3*SUPUESTOS!B17*SUPUESTOS!B15</f>
        <v>81</v>
      </c>
      <c r="H26" s="31" t="n">
        <f aca="false">G26*SUPUESTOS!$B$4</f>
        <v>121500</v>
      </c>
      <c r="I26" s="30" t="n">
        <f aca="false">3*SUPUESTOS!B18*SUPUESTOS!B15</f>
        <v>247.5</v>
      </c>
      <c r="J26" s="31" t="n">
        <f aca="false">I26*SUPUESTOS!$B$4</f>
        <v>371250</v>
      </c>
    </row>
    <row r="27" customFormat="false" ht="15.75" hidden="false" customHeight="true" outlineLevel="0" collapsed="false">
      <c r="A27" s="32" t="s">
        <v>131</v>
      </c>
      <c r="G27" s="33" t="n">
        <f aca="false">3*SUPUESTOS!B17+SUPUESTOS!B19+3*SUPUESTOS!B17*SUPUESTOS!B15</f>
        <v>6681</v>
      </c>
      <c r="H27" s="23" t="n">
        <f aca="false">G27*SUPUESTOS!$B$4</f>
        <v>10021500</v>
      </c>
      <c r="I27" s="33" t="n">
        <f aca="false">3*SUPUESTOS!B18+SUPUESTOS!B20+3*SUPUESTOS!B18*SUPUESTOS!B15</f>
        <v>18947.5</v>
      </c>
      <c r="J27" s="23" t="n">
        <f aca="false">I27*SUPUESTOS!$B$4</f>
        <v>28421250</v>
      </c>
    </row>
    <row r="28" customFormat="false" ht="15.75" hidden="false" customHeight="true" outlineLevel="0" collapsed="false">
      <c r="A28" s="15" t="s">
        <v>132</v>
      </c>
      <c r="G28" s="30" t="n">
        <f aca="false">(3*SUPUESTOS!B17+SUPUESTOS!B19+3*SUPUESTOS!B17*SUPUESTOS!B15)*SUPUESTOS!B10</f>
        <v>935.34</v>
      </c>
      <c r="H28" s="31" t="n">
        <f aca="false">G28*SUPUESTOS!$B$4</f>
        <v>1403010</v>
      </c>
      <c r="I28" s="30" t="n">
        <f aca="false">(3*SUPUESTOS!B18+SUPUESTOS!B20+3*SUPUESTOS!B18*SUPUESTOS!B15)*SUPUESTOS!B10</f>
        <v>2652.65</v>
      </c>
      <c r="J28" s="31" t="n">
        <f aca="false">I28*SUPUESTOS!$B$4</f>
        <v>3978975</v>
      </c>
    </row>
    <row r="29" customFormat="false" ht="15.75" hidden="false" customHeight="true" outlineLevel="0" collapsed="false">
      <c r="A29" s="34" t="s">
        <v>133</v>
      </c>
      <c r="G29" s="35" t="n">
        <f aca="false">(3*SUPUESTOS!B17+SUPUESTOS!B19+3*SUPUESTOS!B17*SUPUESTOS!B15)*(1+SUPUESTOS!B10)*SUPUESTOS!B11</f>
        <v>1599.4314</v>
      </c>
      <c r="H29" s="31" t="n">
        <f aca="false">G29*SUPUESTOS!$B$4</f>
        <v>2399147.1</v>
      </c>
      <c r="I29" s="35" t="n">
        <f aca="false">(3*SUPUESTOS!B18+SUPUESTOS!B20+3*SUPUESTOS!B18*SUPUESTOS!B15)*(1+SUPUESTOS!B10)*SUPUESTOS!B11</f>
        <v>4536.0315</v>
      </c>
      <c r="J29" s="31" t="n">
        <f aca="false">I29*SUPUESTOS!$B$4</f>
        <v>6804047.25</v>
      </c>
    </row>
    <row r="30" customFormat="false" ht="15.75" hidden="false" customHeight="true" outlineLevel="0" collapsed="false">
      <c r="A30" s="34" t="s">
        <v>134</v>
      </c>
      <c r="G30" s="35" t="n">
        <f aca="false">(3*SUPUESTOS!B17+SUPUESTOS!B19+3*SUPUESTOS!B17*SUPUESTOS!B15)*(1+SUPUESTOS!B10)*SUPUESTOS!B12</f>
        <v>799.7157</v>
      </c>
      <c r="H30" s="31" t="n">
        <f aca="false">G30*SUPUESTOS!$B$4</f>
        <v>1199573.55</v>
      </c>
      <c r="I30" s="35" t="n">
        <f aca="false">(3*SUPUESTOS!B18+SUPUESTOS!B20+3*SUPUESTOS!B18*SUPUESTOS!B15)*(1+SUPUESTOS!B10)*SUPUESTOS!B12</f>
        <v>2268.01575</v>
      </c>
      <c r="J30" s="31" t="n">
        <f aca="false">I30*SUPUESTOS!$B$4</f>
        <v>3402023.625</v>
      </c>
    </row>
    <row r="31" customFormat="false" ht="15.75" hidden="false" customHeight="true" outlineLevel="0" collapsed="false">
      <c r="A31" s="15" t="s">
        <v>135</v>
      </c>
      <c r="G31" s="30" t="n">
        <f aca="false">(3*SUPUESTOS!B17+SUPUESTOS!B19+3*SUPUESTOS!B17*SUPUESTOS!B15)*SUPUESTOS!B13</f>
        <v>33.405</v>
      </c>
      <c r="H31" s="31" t="n">
        <f aca="false">G31*SUPUESTOS!$B$4</f>
        <v>50107.5</v>
      </c>
      <c r="I31" s="30" t="n">
        <f aca="false">(3*SUPUESTOS!B18+SUPUESTOS!B20+3*SUPUESTOS!B18*SUPUESTOS!B15)*SUPUESTOS!B13</f>
        <v>94.7375</v>
      </c>
      <c r="J31" s="31" t="n">
        <f aca="false">I31*SUPUESTOS!$B$4</f>
        <v>142106.25</v>
      </c>
    </row>
    <row r="32" customFormat="false" ht="15.75" hidden="false" customHeight="true" outlineLevel="0" collapsed="false">
      <c r="A32" s="15" t="s">
        <v>136</v>
      </c>
      <c r="G32" s="30" t="n">
        <f aca="false">SUPUESTOS!B14</f>
        <v>700</v>
      </c>
      <c r="H32" s="31" t="n">
        <f aca="false">G32*SUPUESTOS!$B$4</f>
        <v>1050000</v>
      </c>
      <c r="I32" s="30" t="n">
        <f aca="false">SUPUESTOS!B14</f>
        <v>700</v>
      </c>
      <c r="J32" s="31" t="n">
        <f aca="false">I32*SUPUESTOS!$B$4</f>
        <v>1050000</v>
      </c>
    </row>
    <row r="33" customFormat="false" ht="18" hidden="false" customHeight="true" outlineLevel="0" collapsed="false">
      <c r="A33" s="36" t="s">
        <v>137</v>
      </c>
      <c r="G33" s="33" t="n">
        <f aca="false">3*SUPUESTOS!B17+SUPUESTOS!B19+3*SUPUESTOS!B17*SUPUESTOS!B15+(3*SUPUESTOS!B17+SUPUESTOS!B19+3*SUPUESTOS!B17*SUPUESTOS!B15)*SUPUESTOS!B10+(3*SUPUESTOS!B17+SUPUESTOS!B19+3*SUPUESTOS!B17*SUPUESTOS!B15)*(1+SUPUESTOS!B10)*SUPUESTOS!B11+(3*SUPUESTOS!B17+SUPUESTOS!B19+3*SUPUESTOS!B17*SUPUESTOS!B15)*(1+SUPUESTOS!B10)*SUPUESTOS!B12+(3*SUPUESTOS!B17+SUPUESTOS!B19+3*SUPUESTOS!B17*SUPUESTOS!B15)*SUPUESTOS!B13+SUPUESTOS!B14</f>
        <v>10748.8921</v>
      </c>
      <c r="H33" s="23" t="n">
        <f aca="false">G33*SUPUESTOS!$B$4</f>
        <v>16123338.15</v>
      </c>
      <c r="I33" s="33" t="n">
        <f aca="false">3*SUPUESTOS!B18+SUPUESTOS!B20+3*SUPUESTOS!B18*SUPUESTOS!B15+(3*SUPUESTOS!B18+SUPUESTOS!B20+3*SUPUESTOS!B18*SUPUESTOS!B15)*SUPUESTOS!B10+(3*SUPUESTOS!B18+SUPUESTOS!B20+3*SUPUESTOS!B18*SUPUESTOS!B15)*(1+SUPUESTOS!B10)*SUPUESTOS!B11+(3*SUPUESTOS!B18+SUPUESTOS!B20+3*SUPUESTOS!B18*SUPUESTOS!B15)*(1+SUPUESTOS!B10)*SUPUESTOS!B12+(3*SUPUESTOS!B18+SUPUESTOS!B20+3*SUPUESTOS!B18*SUPUESTOS!B15)*SUPUESTOS!B13+SUPUESTOS!B14</f>
        <v>29198.93475</v>
      </c>
      <c r="J33" s="23" t="n">
        <f aca="false">I33*SUPUESTOS!$B$4</f>
        <v>43798402.125</v>
      </c>
    </row>
    <row r="34" customFormat="false" ht="15.75" hidden="false" customHeight="true" outlineLevel="0" collapsed="false">
      <c r="A34" s="37" t="s">
        <v>138</v>
      </c>
      <c r="G34" s="38" t="n">
        <f aca="false">(3*SUPUESTOS!B17+SUPUESTOS!B19+3*SUPUESTOS!B17*SUPUESTOS!B15)*(1+SUPUESTOS!B10)*(SUPUESTOS!B11+SUPUESTOS!B12)</f>
        <v>2399.1471</v>
      </c>
      <c r="H34" s="31" t="n">
        <f aca="false">G34*SUPUESTOS!$B$4</f>
        <v>3598720.65</v>
      </c>
      <c r="I34" s="38" t="n">
        <f aca="false">(3*SUPUESTOS!B18+SUPUESTOS!B20+3*SUPUESTOS!B18*SUPUESTOS!B15)*(1+SUPUESTOS!B10)*(SUPUESTOS!B11+SUPUESTOS!B12)</f>
        <v>6804.04725</v>
      </c>
      <c r="J34" s="31" t="n">
        <f aca="false">I34*SUPUESTOS!$B$4</f>
        <v>10206070.875</v>
      </c>
    </row>
    <row r="35" customFormat="false" ht="15.75" hidden="false" customHeight="true" outlineLevel="0" collapsed="false">
      <c r="A35" s="39" t="s">
        <v>139</v>
      </c>
      <c r="G35" s="30" t="n">
        <f aca="false">SUPUESTOS!$B$40</f>
        <v>1150</v>
      </c>
      <c r="H35" s="31" t="n">
        <f aca="false">G35*SUPUESTOS!$B$4</f>
        <v>1725000</v>
      </c>
      <c r="I35" s="30" t="n">
        <f aca="false">SUPUESTOS!$B$40</f>
        <v>1150</v>
      </c>
      <c r="J35" s="31" t="n">
        <f aca="false">I35*SUPUESTOS!$B$4</f>
        <v>1725000</v>
      </c>
    </row>
    <row r="36" customFormat="false" ht="15.75" hidden="false" customHeight="true" outlineLevel="0" collapsed="false">
      <c r="A36" s="39" t="s">
        <v>144</v>
      </c>
      <c r="G36" s="30" t="n">
        <f aca="false">3*SUPUESTOS!$B$42</f>
        <v>900</v>
      </c>
      <c r="H36" s="31" t="n">
        <f aca="false">G36*SUPUESTOS!$B$4</f>
        <v>1350000</v>
      </c>
      <c r="I36" s="30" t="n">
        <f aca="false">3*SUPUESTOS!$B$42</f>
        <v>900</v>
      </c>
      <c r="J36" s="31" t="n">
        <f aca="false">I36*SUPUESTOS!$B$4</f>
        <v>1350000</v>
      </c>
    </row>
    <row r="37" customFormat="false" ht="19.5" hidden="false" customHeight="true" outlineLevel="0" collapsed="false">
      <c r="A37" s="40" t="s">
        <v>141</v>
      </c>
      <c r="G37" s="41" t="n">
        <f aca="false">3*SUPUESTOS!B17+SUPUESTOS!B19+3*SUPUESTOS!B17*SUPUESTOS!B15+(3*SUPUESTOS!B17+SUPUESTOS!B19+3*SUPUESTOS!B17*SUPUESTOS!B15)*SUPUESTOS!B10+(3*SUPUESTOS!B17+SUPUESTOS!B19+3*SUPUESTOS!B17*SUPUESTOS!B15)*(1+SUPUESTOS!B10)*SUPUESTOS!B11+(3*SUPUESTOS!B17+SUPUESTOS!B19+3*SUPUESTOS!B17*SUPUESTOS!B15)*(1+SUPUESTOS!B10)*SUPUESTOS!B12+(3*SUPUESTOS!B17+SUPUESTOS!B19+3*SUPUESTOS!B17*SUPUESTOS!B15)*SUPUESTOS!B13+SUPUESTOS!B14-((3*SUPUESTOS!B17+SUPUESTOS!B19+3*SUPUESTOS!B17*SUPUESTOS!B15)*(1+SUPUESTOS!B10)*(SUPUESTOS!B11+SUPUESTOS!B12))+SUPUESTOS!$B$40+3*SUPUESTOS!$B$42</f>
        <v>10399.745</v>
      </c>
      <c r="H37" s="23" t="n">
        <f aca="false">G37*SUPUESTOS!$B$4</f>
        <v>15599617.5</v>
      </c>
      <c r="I37" s="41" t="n">
        <f aca="false">3*SUPUESTOS!B18+SUPUESTOS!B20+3*SUPUESTOS!B18*SUPUESTOS!B15+(3*SUPUESTOS!B18+SUPUESTOS!B20+3*SUPUESTOS!B18*SUPUESTOS!B15)*SUPUESTOS!B10+(3*SUPUESTOS!B18+SUPUESTOS!B20+3*SUPUESTOS!B18*SUPUESTOS!B15)*(1+SUPUESTOS!B10)*SUPUESTOS!B11+(3*SUPUESTOS!B18+SUPUESTOS!B20+3*SUPUESTOS!B18*SUPUESTOS!B15)*(1+SUPUESTOS!B10)*SUPUESTOS!B12+(3*SUPUESTOS!B18+SUPUESTOS!B20+3*SUPUESTOS!B18*SUPUESTOS!B15)*SUPUESTOS!B13+SUPUESTOS!B14-((3*SUPUESTOS!B18+SUPUESTOS!B20+3*SUPUESTOS!B18*SUPUESTOS!B15)*(1+SUPUESTOS!B10)*(SUPUESTOS!B11+SUPUESTOS!B12))+SUPUESTOS!$B$40+3*SUPUESTOS!$B$42</f>
        <v>24444.8875</v>
      </c>
      <c r="J37" s="23" t="n">
        <f aca="false">I37*SUPUESTOS!$B$4</f>
        <v>36667331.25</v>
      </c>
    </row>
    <row r="38" customFormat="false" ht="15.75" hidden="false" customHeight="true" outlineLevel="0" collapsed="false">
      <c r="A38" s="42" t="s">
        <v>142</v>
      </c>
      <c r="G38" s="43" t="n">
        <f aca="false">G37/3</f>
        <v>3466.58166666667</v>
      </c>
      <c r="H38" s="31" t="n">
        <f aca="false">G38*SUPUESTOS!$B$4</f>
        <v>5199872.5</v>
      </c>
      <c r="I38" s="43" t="n">
        <f aca="false">I37/3</f>
        <v>8148.29583333333</v>
      </c>
      <c r="J38" s="31" t="n">
        <f aca="false">I38*SUPUESTOS!$B$4</f>
        <v>12222443.75</v>
      </c>
    </row>
    <row r="39" customFormat="false" ht="15" hidden="false" customHeight="false" outlineLevel="0" collapsed="false"/>
    <row r="40" customFormat="false" ht="19.5" hidden="false" customHeight="true" outlineLevel="0" collapsed="false">
      <c r="A40" s="7" t="s">
        <v>145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5" hidden="false" customHeight="true" outlineLevel="0" collapsed="false">
      <c r="A41" s="29" t="s">
        <v>118</v>
      </c>
      <c r="K41" s="27" t="s">
        <v>124</v>
      </c>
      <c r="L41" s="22" t="s">
        <v>125</v>
      </c>
      <c r="M41" s="28" t="s">
        <v>126</v>
      </c>
      <c r="N41" s="22" t="s">
        <v>127</v>
      </c>
    </row>
    <row r="42" customFormat="false" ht="15.75" hidden="false" customHeight="true" outlineLevel="0" collapsed="false">
      <c r="A42" s="15" t="s">
        <v>128</v>
      </c>
      <c r="K42" s="30" t="n">
        <f aca="false">4*SUPUESTOS!B17</f>
        <v>7200</v>
      </c>
      <c r="L42" s="31" t="n">
        <f aca="false">K42*SUPUESTOS!$B$4</f>
        <v>10800000</v>
      </c>
      <c r="M42" s="30" t="n">
        <f aca="false">4*SUPUESTOS!B18</f>
        <v>22000</v>
      </c>
      <c r="N42" s="31" t="n">
        <f aca="false">M42*SUPUESTOS!$B$4</f>
        <v>33000000</v>
      </c>
    </row>
    <row r="43" customFormat="false" ht="15.75" hidden="false" customHeight="true" outlineLevel="0" collapsed="false">
      <c r="A43" s="15" t="s">
        <v>129</v>
      </c>
      <c r="K43" s="30" t="n">
        <f aca="false">SUPUESTOS!B19</f>
        <v>1200</v>
      </c>
      <c r="L43" s="31" t="n">
        <f aca="false">K43*SUPUESTOS!$B$4</f>
        <v>1800000</v>
      </c>
      <c r="M43" s="30" t="n">
        <f aca="false">SUPUESTOS!B20</f>
        <v>2200</v>
      </c>
      <c r="N43" s="31" t="n">
        <f aca="false">M43*SUPUESTOS!$B$4</f>
        <v>3300000</v>
      </c>
    </row>
    <row r="44" customFormat="false" ht="15.75" hidden="false" customHeight="true" outlineLevel="0" collapsed="false">
      <c r="A44" s="15" t="s">
        <v>130</v>
      </c>
      <c r="K44" s="30" t="n">
        <f aca="false">4*SUPUESTOS!B17*SUPUESTOS!B15</f>
        <v>108</v>
      </c>
      <c r="L44" s="31" t="n">
        <f aca="false">K44*SUPUESTOS!$B$4</f>
        <v>162000</v>
      </c>
      <c r="M44" s="30" t="n">
        <f aca="false">4*SUPUESTOS!B18*SUPUESTOS!B15</f>
        <v>330</v>
      </c>
      <c r="N44" s="31" t="n">
        <f aca="false">M44*SUPUESTOS!$B$4</f>
        <v>495000</v>
      </c>
    </row>
    <row r="45" customFormat="false" ht="15.75" hidden="false" customHeight="true" outlineLevel="0" collapsed="false">
      <c r="A45" s="32" t="s">
        <v>131</v>
      </c>
      <c r="K45" s="33" t="n">
        <f aca="false">4*SUPUESTOS!B17+SUPUESTOS!B19+4*SUPUESTOS!B17*SUPUESTOS!B15</f>
        <v>8508</v>
      </c>
      <c r="L45" s="23" t="n">
        <f aca="false">K45*SUPUESTOS!$B$4</f>
        <v>12762000</v>
      </c>
      <c r="M45" s="33" t="n">
        <f aca="false">4*SUPUESTOS!B18+SUPUESTOS!B20+4*SUPUESTOS!B18*SUPUESTOS!B15</f>
        <v>24530</v>
      </c>
      <c r="N45" s="23" t="n">
        <f aca="false">M45*SUPUESTOS!$B$4</f>
        <v>36795000</v>
      </c>
    </row>
    <row r="46" customFormat="false" ht="15.75" hidden="false" customHeight="true" outlineLevel="0" collapsed="false">
      <c r="A46" s="15" t="s">
        <v>132</v>
      </c>
      <c r="K46" s="30" t="n">
        <f aca="false">(4*SUPUESTOS!B17+SUPUESTOS!B19+4*SUPUESTOS!B17*SUPUESTOS!B15)*SUPUESTOS!B10</f>
        <v>1191.12</v>
      </c>
      <c r="L46" s="31" t="n">
        <f aca="false">K46*SUPUESTOS!$B$4</f>
        <v>1786680</v>
      </c>
      <c r="M46" s="30" t="n">
        <f aca="false">(4*SUPUESTOS!B18+SUPUESTOS!B20+4*SUPUESTOS!B18*SUPUESTOS!B15)*SUPUESTOS!B10</f>
        <v>3434.2</v>
      </c>
      <c r="N46" s="31" t="n">
        <f aca="false">M46*SUPUESTOS!$B$4</f>
        <v>5151300</v>
      </c>
    </row>
    <row r="47" customFormat="false" ht="15.75" hidden="false" customHeight="true" outlineLevel="0" collapsed="false">
      <c r="A47" s="34" t="s">
        <v>133</v>
      </c>
      <c r="K47" s="35" t="n">
        <f aca="false">(4*SUPUESTOS!B17+SUPUESTOS!B19+4*SUPUESTOS!B17*SUPUESTOS!B15)*(1+SUPUESTOS!B10)*SUPUESTOS!B11</f>
        <v>2036.8152</v>
      </c>
      <c r="L47" s="31" t="n">
        <f aca="false">K47*SUPUESTOS!$B$4</f>
        <v>3055222.8</v>
      </c>
      <c r="M47" s="35" t="n">
        <f aca="false">(4*SUPUESTOS!B18+SUPUESTOS!B20+4*SUPUESTOS!B18*SUPUESTOS!B15)*(1+SUPUESTOS!B10)*SUPUESTOS!B11</f>
        <v>5872.482</v>
      </c>
      <c r="N47" s="31" t="n">
        <f aca="false">M47*SUPUESTOS!$B$4</f>
        <v>8808723</v>
      </c>
    </row>
    <row r="48" customFormat="false" ht="15.75" hidden="false" customHeight="true" outlineLevel="0" collapsed="false">
      <c r="A48" s="34" t="s">
        <v>134</v>
      </c>
      <c r="K48" s="35" t="n">
        <f aca="false">(4*SUPUESTOS!B17+SUPUESTOS!B19+4*SUPUESTOS!B17*SUPUESTOS!B15)*(1+SUPUESTOS!B10)*SUPUESTOS!B12</f>
        <v>1018.4076</v>
      </c>
      <c r="L48" s="31" t="n">
        <f aca="false">K48*SUPUESTOS!$B$4</f>
        <v>1527611.4</v>
      </c>
      <c r="M48" s="35" t="n">
        <f aca="false">(4*SUPUESTOS!B18+SUPUESTOS!B20+4*SUPUESTOS!B18*SUPUESTOS!B15)*(1+SUPUESTOS!B10)*SUPUESTOS!B12</f>
        <v>2936.241</v>
      </c>
      <c r="N48" s="31" t="n">
        <f aca="false">M48*SUPUESTOS!$B$4</f>
        <v>4404361.5</v>
      </c>
    </row>
    <row r="49" customFormat="false" ht="15.75" hidden="false" customHeight="true" outlineLevel="0" collapsed="false">
      <c r="A49" s="15" t="s">
        <v>135</v>
      </c>
      <c r="K49" s="30" t="n">
        <f aca="false">(4*SUPUESTOS!B17+SUPUESTOS!B19+4*SUPUESTOS!B17*SUPUESTOS!B15)*SUPUESTOS!B13</f>
        <v>42.54</v>
      </c>
      <c r="L49" s="31" t="n">
        <f aca="false">K49*SUPUESTOS!$B$4</f>
        <v>63810</v>
      </c>
      <c r="M49" s="30" t="n">
        <f aca="false">(4*SUPUESTOS!B18+SUPUESTOS!B20+4*SUPUESTOS!B18*SUPUESTOS!B15)*SUPUESTOS!B13</f>
        <v>122.65</v>
      </c>
      <c r="N49" s="31" t="n">
        <f aca="false">M49*SUPUESTOS!$B$4</f>
        <v>183975</v>
      </c>
    </row>
    <row r="50" customFormat="false" ht="15.75" hidden="false" customHeight="true" outlineLevel="0" collapsed="false">
      <c r="A50" s="15" t="s">
        <v>136</v>
      </c>
      <c r="K50" s="30" t="n">
        <f aca="false">SUPUESTOS!B14</f>
        <v>700</v>
      </c>
      <c r="L50" s="31" t="n">
        <f aca="false">K50*SUPUESTOS!$B$4</f>
        <v>1050000</v>
      </c>
      <c r="M50" s="30" t="n">
        <f aca="false">SUPUESTOS!B14</f>
        <v>700</v>
      </c>
      <c r="N50" s="31" t="n">
        <f aca="false">M50*SUPUESTOS!$B$4</f>
        <v>1050000</v>
      </c>
    </row>
    <row r="51" customFormat="false" ht="18" hidden="false" customHeight="true" outlineLevel="0" collapsed="false">
      <c r="A51" s="36" t="s">
        <v>137</v>
      </c>
      <c r="K51" s="33" t="n">
        <f aca="false">4*SUPUESTOS!B17+SUPUESTOS!B19+4*SUPUESTOS!B17*SUPUESTOS!B15+(4*SUPUESTOS!B17+SUPUESTOS!B19+4*SUPUESTOS!B17*SUPUESTOS!B15)*SUPUESTOS!B10+(4*SUPUESTOS!B17+SUPUESTOS!B19+4*SUPUESTOS!B17*SUPUESTOS!B15)*(1+SUPUESTOS!B10)*SUPUESTOS!B11+(4*SUPUESTOS!B17+SUPUESTOS!B19+4*SUPUESTOS!B17*SUPUESTOS!B15)*(1+SUPUESTOS!B10)*SUPUESTOS!B12+(4*SUPUESTOS!B17+SUPUESTOS!B19+4*SUPUESTOS!B17*SUPUESTOS!B15)*SUPUESTOS!B13+SUPUESTOS!B14</f>
        <v>13496.8828</v>
      </c>
      <c r="L51" s="23" t="n">
        <f aca="false">K51*SUPUESTOS!$B$4</f>
        <v>20245324.2</v>
      </c>
      <c r="M51" s="33" t="n">
        <f aca="false">4*SUPUESTOS!B18+SUPUESTOS!B20+4*SUPUESTOS!B18*SUPUESTOS!B15+(4*SUPUESTOS!B18+SUPUESTOS!B20+4*SUPUESTOS!B18*SUPUESTOS!B15)*SUPUESTOS!B10+(4*SUPUESTOS!B18+SUPUESTOS!B20+4*SUPUESTOS!B18*SUPUESTOS!B15)*(1+SUPUESTOS!B10)*SUPUESTOS!B11+(4*SUPUESTOS!B18+SUPUESTOS!B20+4*SUPUESTOS!B18*SUPUESTOS!B15)*(1+SUPUESTOS!B10)*SUPUESTOS!B12+(4*SUPUESTOS!B18+SUPUESTOS!B20+4*SUPUESTOS!B18*SUPUESTOS!B15)*SUPUESTOS!B13+SUPUESTOS!B14</f>
        <v>37595.573</v>
      </c>
      <c r="N51" s="23" t="n">
        <f aca="false">M51*SUPUESTOS!$B$4</f>
        <v>56393359.5</v>
      </c>
    </row>
    <row r="52" customFormat="false" ht="15.75" hidden="false" customHeight="true" outlineLevel="0" collapsed="false">
      <c r="A52" s="37" t="s">
        <v>138</v>
      </c>
      <c r="K52" s="38" t="n">
        <f aca="false">(4*SUPUESTOS!B17+SUPUESTOS!B19+4*SUPUESTOS!B17*SUPUESTOS!B15)*(1+SUPUESTOS!B10)*(SUPUESTOS!B11+SUPUESTOS!B12)</f>
        <v>3055.2228</v>
      </c>
      <c r="L52" s="31" t="n">
        <f aca="false">K52*SUPUESTOS!$B$4</f>
        <v>4582834.2</v>
      </c>
      <c r="M52" s="38" t="n">
        <f aca="false">(4*SUPUESTOS!B18+SUPUESTOS!B20+4*SUPUESTOS!B18*SUPUESTOS!B15)*(1+SUPUESTOS!B10)*(SUPUESTOS!B11+SUPUESTOS!B12)</f>
        <v>8808.723</v>
      </c>
      <c r="N52" s="31" t="n">
        <f aca="false">M52*SUPUESTOS!$B$4</f>
        <v>13213084.5</v>
      </c>
    </row>
    <row r="53" customFormat="false" ht="15.75" hidden="false" customHeight="true" outlineLevel="0" collapsed="false">
      <c r="A53" s="39" t="s">
        <v>139</v>
      </c>
      <c r="K53" s="30" t="n">
        <f aca="false">SUPUESTOS!$B$40</f>
        <v>1150</v>
      </c>
      <c r="L53" s="31" t="n">
        <f aca="false">K53*SUPUESTOS!$B$4</f>
        <v>1725000</v>
      </c>
      <c r="M53" s="30" t="n">
        <f aca="false">SUPUESTOS!$B$40</f>
        <v>1150</v>
      </c>
      <c r="N53" s="31" t="n">
        <f aca="false">M53*SUPUESTOS!$B$4</f>
        <v>1725000</v>
      </c>
    </row>
    <row r="54" customFormat="false" ht="15.75" hidden="false" customHeight="true" outlineLevel="0" collapsed="false">
      <c r="A54" s="39" t="s">
        <v>146</v>
      </c>
      <c r="K54" s="30" t="n">
        <f aca="false">4*SUPUESTOS!$B$42</f>
        <v>1200</v>
      </c>
      <c r="L54" s="31" t="n">
        <f aca="false">K54*SUPUESTOS!$B$4</f>
        <v>1800000</v>
      </c>
      <c r="M54" s="30" t="n">
        <f aca="false">4*SUPUESTOS!$B$42</f>
        <v>1200</v>
      </c>
      <c r="N54" s="31" t="n">
        <f aca="false">M54*SUPUESTOS!$B$4</f>
        <v>1800000</v>
      </c>
    </row>
    <row r="55" customFormat="false" ht="19.5" hidden="false" customHeight="true" outlineLevel="0" collapsed="false">
      <c r="A55" s="40" t="s">
        <v>141</v>
      </c>
      <c r="K55" s="41" t="n">
        <f aca="false">4*SUPUESTOS!B17+SUPUESTOS!B19+4*SUPUESTOS!B17*SUPUESTOS!B15+(4*SUPUESTOS!B17+SUPUESTOS!B19+4*SUPUESTOS!B17*SUPUESTOS!B15)*SUPUESTOS!B10+(4*SUPUESTOS!B17+SUPUESTOS!B19+4*SUPUESTOS!B17*SUPUESTOS!B15)*(1+SUPUESTOS!B10)*SUPUESTOS!B11+(4*SUPUESTOS!B17+SUPUESTOS!B19+4*SUPUESTOS!B17*SUPUESTOS!B15)*(1+SUPUESTOS!B10)*SUPUESTOS!B12+(4*SUPUESTOS!B17+SUPUESTOS!B19+4*SUPUESTOS!B17*SUPUESTOS!B15)*SUPUESTOS!B13+SUPUESTOS!B14-((4*SUPUESTOS!B17+SUPUESTOS!B19+4*SUPUESTOS!B17*SUPUESTOS!B15)*(1+SUPUESTOS!B10)*(SUPUESTOS!B11+SUPUESTOS!B12))+SUPUESTOS!$B$40+4*SUPUESTOS!$B$42</f>
        <v>12791.66</v>
      </c>
      <c r="L55" s="23" t="n">
        <f aca="false">K55*SUPUESTOS!$B$4</f>
        <v>19187490</v>
      </c>
      <c r="M55" s="41" t="n">
        <f aca="false">4*SUPUESTOS!B18+SUPUESTOS!B20+4*SUPUESTOS!B18*SUPUESTOS!B15+(4*SUPUESTOS!B18+SUPUESTOS!B20+4*SUPUESTOS!B18*SUPUESTOS!B15)*SUPUESTOS!B10+(4*SUPUESTOS!B18+SUPUESTOS!B20+4*SUPUESTOS!B18*SUPUESTOS!B15)*(1+SUPUESTOS!B10)*SUPUESTOS!B11+(4*SUPUESTOS!B18+SUPUESTOS!B20+4*SUPUESTOS!B18*SUPUESTOS!B15)*(1+SUPUESTOS!B10)*SUPUESTOS!B12+(4*SUPUESTOS!B18+SUPUESTOS!B20+4*SUPUESTOS!B18*SUPUESTOS!B15)*SUPUESTOS!B13+SUPUESTOS!B14-((4*SUPUESTOS!B18+SUPUESTOS!B20+4*SUPUESTOS!B18*SUPUESTOS!B15)*(1+SUPUESTOS!B10)*(SUPUESTOS!B11+SUPUESTOS!B12))+SUPUESTOS!$B$40+4*SUPUESTOS!$B$42</f>
        <v>31136.85</v>
      </c>
      <c r="N55" s="23" t="n">
        <f aca="false">M55*SUPUESTOS!$B$4</f>
        <v>46705275</v>
      </c>
    </row>
    <row r="56" customFormat="false" ht="15.75" hidden="false" customHeight="true" outlineLevel="0" collapsed="false">
      <c r="A56" s="42" t="s">
        <v>142</v>
      </c>
      <c r="K56" s="43" t="n">
        <f aca="false">K55/4</f>
        <v>3197.915</v>
      </c>
      <c r="L56" s="31" t="n">
        <f aca="false">K56*SUPUESTOS!$B$4</f>
        <v>4796872.5</v>
      </c>
      <c r="M56" s="43" t="n">
        <f aca="false">M55/4</f>
        <v>7784.2125</v>
      </c>
      <c r="N56" s="31" t="n">
        <f aca="false">M56*SUPUESTOS!$B$4</f>
        <v>11676318.75</v>
      </c>
    </row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true" outlineLevel="0" collapsed="false">
      <c r="A59" s="44" t="s">
        <v>147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</row>
  </sheetData>
  <mergeCells count="8">
    <mergeCell ref="A1:N1"/>
    <mergeCell ref="C2:F2"/>
    <mergeCell ref="G2:J2"/>
    <mergeCell ref="K2:N2"/>
    <mergeCell ref="A4:N4"/>
    <mergeCell ref="A22:N22"/>
    <mergeCell ref="A40:N40"/>
    <mergeCell ref="A59:N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6"/>
    <col collapsed="false" customWidth="true" hidden="false" outlineLevel="0" max="14" min="3" style="1" width="14"/>
  </cols>
  <sheetData>
    <row r="1" customFormat="false" ht="25.5" hidden="false" customHeight="true" outlineLevel="0" collapsed="false">
      <c r="A1" s="10" t="s">
        <v>148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9.5" hidden="false" customHeight="true" outlineLevel="0" collapsed="false">
      <c r="C2" s="26" t="s">
        <v>115</v>
      </c>
      <c r="D2" s="26"/>
      <c r="E2" s="26"/>
      <c r="F2" s="26"/>
      <c r="G2" s="45" t="s">
        <v>116</v>
      </c>
      <c r="H2" s="45"/>
      <c r="I2" s="45"/>
      <c r="J2" s="45"/>
      <c r="K2" s="46" t="s">
        <v>117</v>
      </c>
      <c r="L2" s="46"/>
      <c r="M2" s="46"/>
      <c r="N2" s="46"/>
    </row>
    <row r="3" customFormat="false" ht="27.75" hidden="false" customHeight="true" outlineLevel="0" collapsed="false">
      <c r="A3" s="11" t="s">
        <v>149</v>
      </c>
      <c r="B3" s="11" t="s">
        <v>150</v>
      </c>
      <c r="C3" s="27" t="s">
        <v>151</v>
      </c>
      <c r="D3" s="27" t="s">
        <v>152</v>
      </c>
      <c r="E3" s="22" t="s">
        <v>153</v>
      </c>
      <c r="F3" s="22" t="s">
        <v>154</v>
      </c>
      <c r="G3" s="47" t="s">
        <v>151</v>
      </c>
      <c r="H3" s="47" t="s">
        <v>152</v>
      </c>
      <c r="I3" s="22" t="s">
        <v>153</v>
      </c>
      <c r="J3" s="22" t="s">
        <v>154</v>
      </c>
      <c r="K3" s="48" t="s">
        <v>151</v>
      </c>
      <c r="L3" s="48" t="s">
        <v>152</v>
      </c>
      <c r="M3" s="22" t="s">
        <v>153</v>
      </c>
      <c r="N3" s="22" t="s">
        <v>154</v>
      </c>
    </row>
    <row r="4" customFormat="false" ht="18" hidden="false" customHeight="true" outlineLevel="0" collapsed="false">
      <c r="A4" s="49" t="s">
        <v>155</v>
      </c>
      <c r="B4" s="49" t="n">
        <v>0</v>
      </c>
      <c r="C4" s="50" t="n">
        <f aca="false">-(2*SUPUESTOS!B17+SUPUESTOS!B19+2*SUPUESTOS!B17*SUPUESTOS!B15+(2*SUPUESTOS!B17+SUPUESTOS!B19+2*SUPUESTOS!B17*SUPUESTOS!B15)*SUPUESTOS!B10+(2*SUPUESTOS!B17+SUPUESTOS!B19+2*SUPUESTOS!B17*SUPUESTOS!B15)*(1+SUPUESTOS!B10)*SUPUESTOS!B11+(2*SUPUESTOS!B17+SUPUESTOS!B19+2*SUPUESTOS!B17*SUPUESTOS!B15)*(1+SUPUESTOS!B10)*SUPUESTOS!B12+(2*SUPUESTOS!B17+SUPUESTOS!B19+2*SUPUESTOS!B17*SUPUESTOS!B15)*SUPUESTOS!B13+SUPUESTOS!B14-(2*SUPUESTOS!B17+SUPUESTOS!B19+2*SUPUESTOS!B17*SUPUESTOS!B15)*(1+SUPUESTOS!B10)*(SUPUESTOS!B11+SUPUESTOS!B12)+SUPUESTOS!$B$40+2*SUPUESTOS!$B$42)</f>
        <v>-8007.83</v>
      </c>
      <c r="D4" s="51" t="n">
        <f aca="false">C4</f>
        <v>-8007.83</v>
      </c>
      <c r="E4" s="52" t="n">
        <f aca="false">C4*SUPUESTOS!$B$4</f>
        <v>-12011745</v>
      </c>
      <c r="F4" s="52" t="n">
        <f aca="false">E4</f>
        <v>-12011745</v>
      </c>
      <c r="G4" s="50" t="n">
        <f aca="false">-(3*SUPUESTOS!B17+SUPUESTOS!B19+3*SUPUESTOS!B17*SUPUESTOS!B15+(3*SUPUESTOS!B17+SUPUESTOS!B19+3*SUPUESTOS!B17*SUPUESTOS!B15)*SUPUESTOS!B10+(3*SUPUESTOS!B17+SUPUESTOS!B19+3*SUPUESTOS!B17*SUPUESTOS!B15)*(1+SUPUESTOS!B10)*SUPUESTOS!B11+(3*SUPUESTOS!B17+SUPUESTOS!B19+3*SUPUESTOS!B17*SUPUESTOS!B15)*(1+SUPUESTOS!B10)*SUPUESTOS!B12+(3*SUPUESTOS!B17+SUPUESTOS!B19+3*SUPUESTOS!B17*SUPUESTOS!B15)*SUPUESTOS!B13+SUPUESTOS!B14-(3*SUPUESTOS!B17+SUPUESTOS!B19+3*SUPUESTOS!B17*SUPUESTOS!B15)*(1+SUPUESTOS!B10)*(SUPUESTOS!B11+SUPUESTOS!B12)+SUPUESTOS!$B$40+3*SUPUESTOS!$B$42)</f>
        <v>-10399.745</v>
      </c>
      <c r="H4" s="51" t="n">
        <f aca="false">G4</f>
        <v>-10399.745</v>
      </c>
      <c r="I4" s="52" t="n">
        <f aca="false">G4*SUPUESTOS!$B$4</f>
        <v>-15599617.5</v>
      </c>
      <c r="J4" s="52" t="n">
        <f aca="false">I4</f>
        <v>-15599617.5</v>
      </c>
      <c r="K4" s="50" t="n">
        <f aca="false">-(4*SUPUESTOS!B17+SUPUESTOS!B19+4*SUPUESTOS!B17*SUPUESTOS!B15+(4*SUPUESTOS!B17+SUPUESTOS!B19+4*SUPUESTOS!B17*SUPUESTOS!B15)*SUPUESTOS!B10+(4*SUPUESTOS!B17+SUPUESTOS!B19+4*SUPUESTOS!B17*SUPUESTOS!B15)*(1+SUPUESTOS!B10)*SUPUESTOS!B11+(4*SUPUESTOS!B17+SUPUESTOS!B19+4*SUPUESTOS!B17*SUPUESTOS!B15)*(1+SUPUESTOS!B10)*SUPUESTOS!B12+(4*SUPUESTOS!B17+SUPUESTOS!B19+4*SUPUESTOS!B17*SUPUESTOS!B15)*SUPUESTOS!B13+SUPUESTOS!B14-(4*SUPUESTOS!B17+SUPUESTOS!B19+4*SUPUESTOS!B17*SUPUESTOS!B15)*(1+SUPUESTOS!B10)*(SUPUESTOS!B11+SUPUESTOS!B12)+SUPUESTOS!$B$40+4*SUPUESTOS!$B$42)</f>
        <v>-12791.66</v>
      </c>
      <c r="L4" s="51" t="n">
        <f aca="false">K4</f>
        <v>-12791.66</v>
      </c>
      <c r="M4" s="52" t="n">
        <f aca="false">K4*SUPUESTOS!$B$4</f>
        <v>-19187490</v>
      </c>
      <c r="N4" s="52" t="n">
        <f aca="false">M4</f>
        <v>-19187490</v>
      </c>
    </row>
    <row r="5" customFormat="false" ht="13.5" hidden="false" customHeight="true" outlineLevel="0" collapsed="false">
      <c r="A5" s="53" t="s">
        <v>156</v>
      </c>
      <c r="B5" s="53" t="n">
        <v>1</v>
      </c>
      <c r="C5" s="50" t="n">
        <f aca="false">2*(SUPUESTOS!B23*(1-SUPUESTOS!B25-SUPUESTOS!B26-SUPUESTOS!B27)-SUPUESTOS!B28-SUPUESTOS!B29)-SUPUESTOS!B35</f>
        <v>241</v>
      </c>
      <c r="D5" s="51" t="n">
        <f aca="false">D4+C5</f>
        <v>-7766.83</v>
      </c>
      <c r="E5" s="54" t="n">
        <f aca="false">C5*SUPUESTOS!$B$4</f>
        <v>361500</v>
      </c>
      <c r="F5" s="54" t="n">
        <f aca="false">F4+E5</f>
        <v>-11650245</v>
      </c>
      <c r="G5" s="50" t="n">
        <f aca="false">3*(SUPUESTOS!B23*(1-SUPUESTOS!B25-SUPUESTOS!B26-SUPUESTOS!B27)-SUPUESTOS!B28-SUPUESTOS!B29)-SUPUESTOS!B35</f>
        <v>409</v>
      </c>
      <c r="H5" s="51" t="n">
        <f aca="false">H4+G5</f>
        <v>-9990.745</v>
      </c>
      <c r="I5" s="54" t="n">
        <f aca="false">G5*SUPUESTOS!$B$4</f>
        <v>613500</v>
      </c>
      <c r="J5" s="54" t="n">
        <f aca="false">J4+I5</f>
        <v>-14986117.5</v>
      </c>
      <c r="K5" s="50" t="n">
        <f aca="false">4*(SUPUESTOS!B23*(1-SUPUESTOS!B25-SUPUESTOS!B26-SUPUESTOS!B27)-SUPUESTOS!B28-SUPUESTOS!B29)-SUPUESTOS!B35</f>
        <v>577</v>
      </c>
      <c r="L5" s="51" t="n">
        <f aca="false">L4+K5</f>
        <v>-12214.66</v>
      </c>
      <c r="M5" s="54" t="n">
        <f aca="false">K5*SUPUESTOS!$B$4</f>
        <v>865500</v>
      </c>
      <c r="N5" s="54" t="n">
        <f aca="false">N4+M5</f>
        <v>-18321990</v>
      </c>
    </row>
    <row r="6" customFormat="false" ht="13.5" hidden="false" customHeight="true" outlineLevel="0" collapsed="false">
      <c r="A6" s="55" t="s">
        <v>157</v>
      </c>
      <c r="B6" s="55" t="n">
        <v>2</v>
      </c>
      <c r="C6" s="56" t="n">
        <f aca="false">2*(SUPUESTOS!B23*(1-SUPUESTOS!B25-SUPUESTOS!B26-SUPUESTOS!B27)-SUPUESTOS!B28-SUPUESTOS!B29)-SUPUESTOS!B35</f>
        <v>241</v>
      </c>
      <c r="D6" s="57" t="n">
        <f aca="false">D5+C6</f>
        <v>-7525.83</v>
      </c>
      <c r="E6" s="54" t="n">
        <f aca="false">C6*SUPUESTOS!$B$4</f>
        <v>361500</v>
      </c>
      <c r="F6" s="54" t="n">
        <f aca="false">F5+E6</f>
        <v>-11288745</v>
      </c>
      <c r="G6" s="56" t="n">
        <f aca="false">3*(SUPUESTOS!B23*(1-SUPUESTOS!B25-SUPUESTOS!B26-SUPUESTOS!B27)-SUPUESTOS!B28-SUPUESTOS!B29)-SUPUESTOS!B35</f>
        <v>409</v>
      </c>
      <c r="H6" s="57" t="n">
        <f aca="false">H5+G6</f>
        <v>-9581.745</v>
      </c>
      <c r="I6" s="54" t="n">
        <f aca="false">G6*SUPUESTOS!$B$4</f>
        <v>613500</v>
      </c>
      <c r="J6" s="54" t="n">
        <f aca="false">J5+I6</f>
        <v>-14372617.5</v>
      </c>
      <c r="K6" s="56" t="n">
        <f aca="false">4*(SUPUESTOS!B23*(1-SUPUESTOS!B25-SUPUESTOS!B26-SUPUESTOS!B27)-SUPUESTOS!B28-SUPUESTOS!B29)-SUPUESTOS!B35</f>
        <v>577</v>
      </c>
      <c r="L6" s="57" t="n">
        <f aca="false">L5+K6</f>
        <v>-11637.66</v>
      </c>
      <c r="M6" s="54" t="n">
        <f aca="false">K6*SUPUESTOS!$B$4</f>
        <v>865500</v>
      </c>
      <c r="N6" s="54" t="n">
        <f aca="false">N5+M6</f>
        <v>-17456490</v>
      </c>
    </row>
    <row r="7" customFormat="false" ht="13.5" hidden="false" customHeight="true" outlineLevel="0" collapsed="false">
      <c r="A7" s="53" t="s">
        <v>158</v>
      </c>
      <c r="B7" s="53" t="n">
        <v>3</v>
      </c>
      <c r="C7" s="50" t="n">
        <f aca="false">2*(SUPUESTOS!B23*(1-SUPUESTOS!B25-SUPUESTOS!B26-SUPUESTOS!B27)-SUPUESTOS!B28-SUPUESTOS!B29)-SUPUESTOS!B35</f>
        <v>241</v>
      </c>
      <c r="D7" s="51" t="n">
        <f aca="false">D6+C7</f>
        <v>-7284.83</v>
      </c>
      <c r="E7" s="54" t="n">
        <f aca="false">C7*SUPUESTOS!$B$4</f>
        <v>361500</v>
      </c>
      <c r="F7" s="54" t="n">
        <f aca="false">F6+E7</f>
        <v>-10927245</v>
      </c>
      <c r="G7" s="50" t="n">
        <f aca="false">3*(SUPUESTOS!B23*(1-SUPUESTOS!B25-SUPUESTOS!B26-SUPUESTOS!B27)-SUPUESTOS!B28-SUPUESTOS!B29)-SUPUESTOS!B35</f>
        <v>409</v>
      </c>
      <c r="H7" s="51" t="n">
        <f aca="false">H6+G7</f>
        <v>-9172.745</v>
      </c>
      <c r="I7" s="54" t="n">
        <f aca="false">G7*SUPUESTOS!$B$4</f>
        <v>613500</v>
      </c>
      <c r="J7" s="54" t="n">
        <f aca="false">J6+I7</f>
        <v>-13759117.5</v>
      </c>
      <c r="K7" s="50" t="n">
        <f aca="false">4*(SUPUESTOS!B23*(1-SUPUESTOS!B25-SUPUESTOS!B26-SUPUESTOS!B27)-SUPUESTOS!B28-SUPUESTOS!B29)-SUPUESTOS!B35</f>
        <v>577</v>
      </c>
      <c r="L7" s="51" t="n">
        <f aca="false">L6+K7</f>
        <v>-11060.66</v>
      </c>
      <c r="M7" s="54" t="n">
        <f aca="false">K7*SUPUESTOS!$B$4</f>
        <v>865500</v>
      </c>
      <c r="N7" s="54" t="n">
        <f aca="false">N6+M7</f>
        <v>-16590990</v>
      </c>
    </row>
    <row r="8" customFormat="false" ht="13.5" hidden="false" customHeight="true" outlineLevel="0" collapsed="false">
      <c r="A8" s="55" t="s">
        <v>159</v>
      </c>
      <c r="B8" s="55" t="n">
        <v>4</v>
      </c>
      <c r="C8" s="56" t="n">
        <f aca="false">2*(SUPUESTOS!B23*(1-SUPUESTOS!B25-SUPUESTOS!B26-SUPUESTOS!B27)-SUPUESTOS!B28-SUPUESTOS!B29)-SUPUESTOS!B35</f>
        <v>241</v>
      </c>
      <c r="D8" s="57" t="n">
        <f aca="false">D7+C8</f>
        <v>-7043.83</v>
      </c>
      <c r="E8" s="54" t="n">
        <f aca="false">C8*SUPUESTOS!$B$4</f>
        <v>361500</v>
      </c>
      <c r="F8" s="54" t="n">
        <f aca="false">F7+E8</f>
        <v>-10565745</v>
      </c>
      <c r="G8" s="56" t="n">
        <f aca="false">3*(SUPUESTOS!B23*(1-SUPUESTOS!B25-SUPUESTOS!B26-SUPUESTOS!B27)-SUPUESTOS!B28-SUPUESTOS!B29)-SUPUESTOS!B35</f>
        <v>409</v>
      </c>
      <c r="H8" s="57" t="n">
        <f aca="false">H7+G8</f>
        <v>-8763.745</v>
      </c>
      <c r="I8" s="54" t="n">
        <f aca="false">G8*SUPUESTOS!$B$4</f>
        <v>613500</v>
      </c>
      <c r="J8" s="54" t="n">
        <f aca="false">J7+I8</f>
        <v>-13145617.5</v>
      </c>
      <c r="K8" s="56" t="n">
        <f aca="false">4*(SUPUESTOS!B23*(1-SUPUESTOS!B25-SUPUESTOS!B26-SUPUESTOS!B27)-SUPUESTOS!B28-SUPUESTOS!B29)-SUPUESTOS!B35</f>
        <v>577</v>
      </c>
      <c r="L8" s="57" t="n">
        <f aca="false">L7+K8</f>
        <v>-10483.66</v>
      </c>
      <c r="M8" s="54" t="n">
        <f aca="false">K8*SUPUESTOS!$B$4</f>
        <v>865500</v>
      </c>
      <c r="N8" s="54" t="n">
        <f aca="false">N7+M8</f>
        <v>-15725490</v>
      </c>
    </row>
    <row r="9" customFormat="false" ht="13.5" hidden="false" customHeight="true" outlineLevel="0" collapsed="false">
      <c r="A9" s="53" t="s">
        <v>160</v>
      </c>
      <c r="B9" s="53" t="n">
        <v>5</v>
      </c>
      <c r="C9" s="50" t="n">
        <f aca="false">2*(SUPUESTOS!B23*(1-SUPUESTOS!B25-SUPUESTOS!B26-SUPUESTOS!B27)-SUPUESTOS!B28-SUPUESTOS!B29)-SUPUESTOS!B35</f>
        <v>241</v>
      </c>
      <c r="D9" s="51" t="n">
        <f aca="false">D8+C9</f>
        <v>-6802.83</v>
      </c>
      <c r="E9" s="54" t="n">
        <f aca="false">C9*SUPUESTOS!$B$4</f>
        <v>361500</v>
      </c>
      <c r="F9" s="54" t="n">
        <f aca="false">F8+E9</f>
        <v>-10204245</v>
      </c>
      <c r="G9" s="50" t="n">
        <f aca="false">3*(SUPUESTOS!B23*(1-SUPUESTOS!B25-SUPUESTOS!B26-SUPUESTOS!B27)-SUPUESTOS!B28-SUPUESTOS!B29)-SUPUESTOS!B35</f>
        <v>409</v>
      </c>
      <c r="H9" s="51" t="n">
        <f aca="false">H8+G9</f>
        <v>-8354.745</v>
      </c>
      <c r="I9" s="54" t="n">
        <f aca="false">G9*SUPUESTOS!$B$4</f>
        <v>613500</v>
      </c>
      <c r="J9" s="54" t="n">
        <f aca="false">J8+I9</f>
        <v>-12532117.5</v>
      </c>
      <c r="K9" s="50" t="n">
        <f aca="false">4*(SUPUESTOS!B23*(1-SUPUESTOS!B25-SUPUESTOS!B26-SUPUESTOS!B27)-SUPUESTOS!B28-SUPUESTOS!B29)-SUPUESTOS!B35</f>
        <v>577</v>
      </c>
      <c r="L9" s="51" t="n">
        <f aca="false">L8+K9</f>
        <v>-9906.66</v>
      </c>
      <c r="M9" s="54" t="n">
        <f aca="false">K9*SUPUESTOS!$B$4</f>
        <v>865500</v>
      </c>
      <c r="N9" s="54" t="n">
        <f aca="false">N8+M9</f>
        <v>-14859990</v>
      </c>
    </row>
    <row r="10" customFormat="false" ht="13.5" hidden="false" customHeight="true" outlineLevel="0" collapsed="false">
      <c r="A10" s="55" t="s">
        <v>161</v>
      </c>
      <c r="B10" s="55" t="n">
        <v>6</v>
      </c>
      <c r="C10" s="56" t="n">
        <f aca="false">2*(SUPUESTOS!B23*(1-SUPUESTOS!B25-SUPUESTOS!B26-SUPUESTOS!B27)-SUPUESTOS!B28-SUPUESTOS!B29)-SUPUESTOS!B35</f>
        <v>241</v>
      </c>
      <c r="D10" s="57" t="n">
        <f aca="false">D9+C10</f>
        <v>-6561.83</v>
      </c>
      <c r="E10" s="54" t="n">
        <f aca="false">C10*SUPUESTOS!$B$4</f>
        <v>361500</v>
      </c>
      <c r="F10" s="54" t="n">
        <f aca="false">F9+E10</f>
        <v>-9842745</v>
      </c>
      <c r="G10" s="56" t="n">
        <f aca="false">3*(SUPUESTOS!B23*(1-SUPUESTOS!B25-SUPUESTOS!B26-SUPUESTOS!B27)-SUPUESTOS!B28-SUPUESTOS!B29)-SUPUESTOS!B35</f>
        <v>409</v>
      </c>
      <c r="H10" s="57" t="n">
        <f aca="false">H9+G10</f>
        <v>-7945.745</v>
      </c>
      <c r="I10" s="54" t="n">
        <f aca="false">G10*SUPUESTOS!$B$4</f>
        <v>613500</v>
      </c>
      <c r="J10" s="54" t="n">
        <f aca="false">J9+I10</f>
        <v>-11918617.5</v>
      </c>
      <c r="K10" s="56" t="n">
        <f aca="false">4*(SUPUESTOS!B23*(1-SUPUESTOS!B25-SUPUESTOS!B26-SUPUESTOS!B27)-SUPUESTOS!B28-SUPUESTOS!B29)-SUPUESTOS!B35</f>
        <v>577</v>
      </c>
      <c r="L10" s="57" t="n">
        <f aca="false">L9+K10</f>
        <v>-9329.66</v>
      </c>
      <c r="M10" s="54" t="n">
        <f aca="false">K10*SUPUESTOS!$B$4</f>
        <v>865500</v>
      </c>
      <c r="N10" s="54" t="n">
        <f aca="false">N9+M10</f>
        <v>-13994490</v>
      </c>
    </row>
    <row r="11" customFormat="false" ht="13.5" hidden="false" customHeight="true" outlineLevel="0" collapsed="false">
      <c r="A11" s="53" t="s">
        <v>162</v>
      </c>
      <c r="B11" s="53" t="n">
        <v>7</v>
      </c>
      <c r="C11" s="50" t="n">
        <f aca="false">2*(SUPUESTOS!B23*(1-SUPUESTOS!B25-SUPUESTOS!B26-SUPUESTOS!B27)-SUPUESTOS!B28-SUPUESTOS!B29)-SUPUESTOS!B35</f>
        <v>241</v>
      </c>
      <c r="D11" s="51" t="n">
        <f aca="false">D10+C11</f>
        <v>-6320.83</v>
      </c>
      <c r="E11" s="54" t="n">
        <f aca="false">C11*SUPUESTOS!$B$4</f>
        <v>361500</v>
      </c>
      <c r="F11" s="54" t="n">
        <f aca="false">F10+E11</f>
        <v>-9481245</v>
      </c>
      <c r="G11" s="50" t="n">
        <f aca="false">3*(SUPUESTOS!B23*(1-SUPUESTOS!B25-SUPUESTOS!B26-SUPUESTOS!B27)-SUPUESTOS!B28-SUPUESTOS!B29)-SUPUESTOS!B35</f>
        <v>409</v>
      </c>
      <c r="H11" s="51" t="n">
        <f aca="false">H10+G11</f>
        <v>-7536.745</v>
      </c>
      <c r="I11" s="54" t="n">
        <f aca="false">G11*SUPUESTOS!$B$4</f>
        <v>613500</v>
      </c>
      <c r="J11" s="54" t="n">
        <f aca="false">J10+I11</f>
        <v>-11305117.5</v>
      </c>
      <c r="K11" s="50" t="n">
        <f aca="false">4*(SUPUESTOS!B23*(1-SUPUESTOS!B25-SUPUESTOS!B26-SUPUESTOS!B27)-SUPUESTOS!B28-SUPUESTOS!B29)-SUPUESTOS!B35</f>
        <v>577</v>
      </c>
      <c r="L11" s="51" t="n">
        <f aca="false">L10+K11</f>
        <v>-8752.66</v>
      </c>
      <c r="M11" s="54" t="n">
        <f aca="false">K11*SUPUESTOS!$B$4</f>
        <v>865500</v>
      </c>
      <c r="N11" s="54" t="n">
        <f aca="false">N10+M11</f>
        <v>-13128990</v>
      </c>
    </row>
    <row r="12" customFormat="false" ht="13.5" hidden="false" customHeight="true" outlineLevel="0" collapsed="false">
      <c r="A12" s="55" t="s">
        <v>163</v>
      </c>
      <c r="B12" s="55" t="n">
        <v>8</v>
      </c>
      <c r="C12" s="56" t="n">
        <f aca="false">2*(SUPUESTOS!B23*(1-SUPUESTOS!B25-SUPUESTOS!B26-SUPUESTOS!B27)-SUPUESTOS!B28-SUPUESTOS!B29)-SUPUESTOS!B35</f>
        <v>241</v>
      </c>
      <c r="D12" s="57" t="n">
        <f aca="false">D11+C12</f>
        <v>-6079.83</v>
      </c>
      <c r="E12" s="54" t="n">
        <f aca="false">C12*SUPUESTOS!$B$4</f>
        <v>361500</v>
      </c>
      <c r="F12" s="54" t="n">
        <f aca="false">F11+E12</f>
        <v>-9119745</v>
      </c>
      <c r="G12" s="56" t="n">
        <f aca="false">3*(SUPUESTOS!B23*(1-SUPUESTOS!B25-SUPUESTOS!B26-SUPUESTOS!B27)-SUPUESTOS!B28-SUPUESTOS!B29)-SUPUESTOS!B35</f>
        <v>409</v>
      </c>
      <c r="H12" s="57" t="n">
        <f aca="false">H11+G12</f>
        <v>-7127.745</v>
      </c>
      <c r="I12" s="54" t="n">
        <f aca="false">G12*SUPUESTOS!$B$4</f>
        <v>613500</v>
      </c>
      <c r="J12" s="54" t="n">
        <f aca="false">J11+I12</f>
        <v>-10691617.5</v>
      </c>
      <c r="K12" s="56" t="n">
        <f aca="false">4*(SUPUESTOS!B23*(1-SUPUESTOS!B25-SUPUESTOS!B26-SUPUESTOS!B27)-SUPUESTOS!B28-SUPUESTOS!B29)-SUPUESTOS!B35</f>
        <v>577</v>
      </c>
      <c r="L12" s="57" t="n">
        <f aca="false">L11+K12</f>
        <v>-8175.66</v>
      </c>
      <c r="M12" s="54" t="n">
        <f aca="false">K12*SUPUESTOS!$B$4</f>
        <v>865500</v>
      </c>
      <c r="N12" s="54" t="n">
        <f aca="false">N11+M12</f>
        <v>-12263490</v>
      </c>
    </row>
    <row r="13" customFormat="false" ht="13.5" hidden="false" customHeight="true" outlineLevel="0" collapsed="false">
      <c r="A13" s="53" t="s">
        <v>164</v>
      </c>
      <c r="B13" s="53" t="n">
        <v>9</v>
      </c>
      <c r="C13" s="50" t="n">
        <f aca="false">2*(SUPUESTOS!B23*(1-SUPUESTOS!B25-SUPUESTOS!B26-SUPUESTOS!B27)-SUPUESTOS!B28-SUPUESTOS!B29)-SUPUESTOS!B35</f>
        <v>241</v>
      </c>
      <c r="D13" s="51" t="n">
        <f aca="false">D12+C13</f>
        <v>-5838.83</v>
      </c>
      <c r="E13" s="54" t="n">
        <f aca="false">C13*SUPUESTOS!$B$4</f>
        <v>361500</v>
      </c>
      <c r="F13" s="54" t="n">
        <f aca="false">F12+E13</f>
        <v>-8758245</v>
      </c>
      <c r="G13" s="50" t="n">
        <f aca="false">3*(SUPUESTOS!B23*(1-SUPUESTOS!B25-SUPUESTOS!B26-SUPUESTOS!B27)-SUPUESTOS!B28-SUPUESTOS!B29)-SUPUESTOS!B35</f>
        <v>409</v>
      </c>
      <c r="H13" s="51" t="n">
        <f aca="false">H12+G13</f>
        <v>-6718.745</v>
      </c>
      <c r="I13" s="54" t="n">
        <f aca="false">G13*SUPUESTOS!$B$4</f>
        <v>613500</v>
      </c>
      <c r="J13" s="54" t="n">
        <f aca="false">J12+I13</f>
        <v>-10078117.5</v>
      </c>
      <c r="K13" s="50" t="n">
        <f aca="false">4*(SUPUESTOS!B23*(1-SUPUESTOS!B25-SUPUESTOS!B26-SUPUESTOS!B27)-SUPUESTOS!B28-SUPUESTOS!B29)-SUPUESTOS!B35</f>
        <v>577</v>
      </c>
      <c r="L13" s="51" t="n">
        <f aca="false">L12+K13</f>
        <v>-7598.66</v>
      </c>
      <c r="M13" s="54" t="n">
        <f aca="false">K13*SUPUESTOS!$B$4</f>
        <v>865500</v>
      </c>
      <c r="N13" s="54" t="n">
        <f aca="false">N12+M13</f>
        <v>-11397990</v>
      </c>
    </row>
    <row r="14" customFormat="false" ht="13.5" hidden="false" customHeight="true" outlineLevel="0" collapsed="false">
      <c r="A14" s="55" t="s">
        <v>165</v>
      </c>
      <c r="B14" s="55" t="n">
        <v>10</v>
      </c>
      <c r="C14" s="56" t="n">
        <f aca="false">2*(SUPUESTOS!B23*(1-SUPUESTOS!B25-SUPUESTOS!B26-SUPUESTOS!B27)-SUPUESTOS!B28-SUPUESTOS!B29)-SUPUESTOS!B35</f>
        <v>241</v>
      </c>
      <c r="D14" s="57" t="n">
        <f aca="false">D13+C14</f>
        <v>-5597.83</v>
      </c>
      <c r="E14" s="54" t="n">
        <f aca="false">C14*SUPUESTOS!$B$4</f>
        <v>361500</v>
      </c>
      <c r="F14" s="54" t="n">
        <f aca="false">F13+E14</f>
        <v>-8396745</v>
      </c>
      <c r="G14" s="56" t="n">
        <f aca="false">3*(SUPUESTOS!B23*(1-SUPUESTOS!B25-SUPUESTOS!B26-SUPUESTOS!B27)-SUPUESTOS!B28-SUPUESTOS!B29)-SUPUESTOS!B35</f>
        <v>409</v>
      </c>
      <c r="H14" s="57" t="n">
        <f aca="false">H13+G14</f>
        <v>-6309.745</v>
      </c>
      <c r="I14" s="54" t="n">
        <f aca="false">G14*SUPUESTOS!$B$4</f>
        <v>613500</v>
      </c>
      <c r="J14" s="54" t="n">
        <f aca="false">J13+I14</f>
        <v>-9464617.5</v>
      </c>
      <c r="K14" s="56" t="n">
        <f aca="false">4*(SUPUESTOS!B23*(1-SUPUESTOS!B25-SUPUESTOS!B26-SUPUESTOS!B27)-SUPUESTOS!B28-SUPUESTOS!B29)-SUPUESTOS!B35</f>
        <v>577</v>
      </c>
      <c r="L14" s="57" t="n">
        <f aca="false">L13+K14</f>
        <v>-7021.66</v>
      </c>
      <c r="M14" s="54" t="n">
        <f aca="false">K14*SUPUESTOS!$B$4</f>
        <v>865500</v>
      </c>
      <c r="N14" s="54" t="n">
        <f aca="false">N13+M14</f>
        <v>-10532490</v>
      </c>
    </row>
    <row r="15" customFormat="false" ht="13.5" hidden="false" customHeight="true" outlineLevel="0" collapsed="false">
      <c r="A15" s="53" t="s">
        <v>166</v>
      </c>
      <c r="B15" s="53" t="n">
        <v>11</v>
      </c>
      <c r="C15" s="50" t="n">
        <f aca="false">2*(SUPUESTOS!B23*(1-SUPUESTOS!B25-SUPUESTOS!B26-SUPUESTOS!B27)-SUPUESTOS!B28-SUPUESTOS!B29)-SUPUESTOS!B35</f>
        <v>241</v>
      </c>
      <c r="D15" s="51" t="n">
        <f aca="false">D14+C15</f>
        <v>-5356.83</v>
      </c>
      <c r="E15" s="54" t="n">
        <f aca="false">C15*SUPUESTOS!$B$4</f>
        <v>361500</v>
      </c>
      <c r="F15" s="54" t="n">
        <f aca="false">F14+E15</f>
        <v>-8035245</v>
      </c>
      <c r="G15" s="50" t="n">
        <f aca="false">3*(SUPUESTOS!B23*(1-SUPUESTOS!B25-SUPUESTOS!B26-SUPUESTOS!B27)-SUPUESTOS!B28-SUPUESTOS!B29)-SUPUESTOS!B35</f>
        <v>409</v>
      </c>
      <c r="H15" s="51" t="n">
        <f aca="false">H14+G15</f>
        <v>-5900.745</v>
      </c>
      <c r="I15" s="54" t="n">
        <f aca="false">G15*SUPUESTOS!$B$4</f>
        <v>613500</v>
      </c>
      <c r="J15" s="54" t="n">
        <f aca="false">J14+I15</f>
        <v>-8851117.5</v>
      </c>
      <c r="K15" s="50" t="n">
        <f aca="false">4*(SUPUESTOS!B23*(1-SUPUESTOS!B25-SUPUESTOS!B26-SUPUESTOS!B27)-SUPUESTOS!B28-SUPUESTOS!B29)-SUPUESTOS!B35</f>
        <v>577</v>
      </c>
      <c r="L15" s="51" t="n">
        <f aca="false">L14+K15</f>
        <v>-6444.66</v>
      </c>
      <c r="M15" s="54" t="n">
        <f aca="false">K15*SUPUESTOS!$B$4</f>
        <v>865500</v>
      </c>
      <c r="N15" s="54" t="n">
        <f aca="false">N14+M15</f>
        <v>-9666990</v>
      </c>
    </row>
    <row r="16" customFormat="false" ht="13.5" hidden="false" customHeight="true" outlineLevel="0" collapsed="false">
      <c r="A16" s="55" t="s">
        <v>167</v>
      </c>
      <c r="B16" s="55" t="n">
        <v>12</v>
      </c>
      <c r="C16" s="56" t="n">
        <f aca="false">2*(SUPUESTOS!B23*(1-SUPUESTOS!B25-SUPUESTOS!B26-SUPUESTOS!B27)-SUPUESTOS!B28-SUPUESTOS!B29)-SUPUESTOS!B35</f>
        <v>241</v>
      </c>
      <c r="D16" s="57" t="n">
        <f aca="false">D15+C16</f>
        <v>-5115.83</v>
      </c>
      <c r="E16" s="54" t="n">
        <f aca="false">C16*SUPUESTOS!$B$4</f>
        <v>361500</v>
      </c>
      <c r="F16" s="54" t="n">
        <f aca="false">F15+E16</f>
        <v>-7673745</v>
      </c>
      <c r="G16" s="56" t="n">
        <f aca="false">3*(SUPUESTOS!B23*(1-SUPUESTOS!B25-SUPUESTOS!B26-SUPUESTOS!B27)-SUPUESTOS!B28-SUPUESTOS!B29)-SUPUESTOS!B35</f>
        <v>409</v>
      </c>
      <c r="H16" s="57" t="n">
        <f aca="false">H15+G16</f>
        <v>-5491.745</v>
      </c>
      <c r="I16" s="54" t="n">
        <f aca="false">G16*SUPUESTOS!$B$4</f>
        <v>613500</v>
      </c>
      <c r="J16" s="54" t="n">
        <f aca="false">J15+I16</f>
        <v>-8237617.5</v>
      </c>
      <c r="K16" s="56" t="n">
        <f aca="false">4*(SUPUESTOS!B23*(1-SUPUESTOS!B25-SUPUESTOS!B26-SUPUESTOS!B27)-SUPUESTOS!B28-SUPUESTOS!B29)-SUPUESTOS!B35</f>
        <v>577</v>
      </c>
      <c r="L16" s="57" t="n">
        <f aca="false">L15+K16</f>
        <v>-5867.66</v>
      </c>
      <c r="M16" s="54" t="n">
        <f aca="false">K16*SUPUESTOS!$B$4</f>
        <v>865500</v>
      </c>
      <c r="N16" s="54" t="n">
        <f aca="false">N15+M16</f>
        <v>-8801490</v>
      </c>
    </row>
    <row r="17" customFormat="false" ht="13.5" hidden="false" customHeight="true" outlineLevel="0" collapsed="false">
      <c r="A17" s="53" t="s">
        <v>168</v>
      </c>
      <c r="B17" s="53" t="n">
        <v>13</v>
      </c>
      <c r="C17" s="50" t="n">
        <f aca="false">2*(SUPUESTOS!B23*(1-SUPUESTOS!B25-SUPUESTOS!B26-SUPUESTOS!B27)-SUPUESTOS!B28-SUPUESTOS!B29)-SUPUESTOS!B35</f>
        <v>241</v>
      </c>
      <c r="D17" s="51" t="n">
        <f aca="false">D16+C17</f>
        <v>-4874.83</v>
      </c>
      <c r="E17" s="54" t="n">
        <f aca="false">C17*SUPUESTOS!$B$4</f>
        <v>361500</v>
      </c>
      <c r="F17" s="54" t="n">
        <f aca="false">F16+E17</f>
        <v>-7312245</v>
      </c>
      <c r="G17" s="50" t="n">
        <f aca="false">3*(SUPUESTOS!B23*(1-SUPUESTOS!B25-SUPUESTOS!B26-SUPUESTOS!B27)-SUPUESTOS!B28-SUPUESTOS!B29)-SUPUESTOS!B35</f>
        <v>409</v>
      </c>
      <c r="H17" s="51" t="n">
        <f aca="false">H16+G17</f>
        <v>-5082.745</v>
      </c>
      <c r="I17" s="54" t="n">
        <f aca="false">G17*SUPUESTOS!$B$4</f>
        <v>613500</v>
      </c>
      <c r="J17" s="54" t="n">
        <f aca="false">J16+I17</f>
        <v>-7624117.5</v>
      </c>
      <c r="K17" s="50" t="n">
        <f aca="false">4*(SUPUESTOS!B23*(1-SUPUESTOS!B25-SUPUESTOS!B26-SUPUESTOS!B27)-SUPUESTOS!B28-SUPUESTOS!B29)-SUPUESTOS!B35</f>
        <v>577</v>
      </c>
      <c r="L17" s="51" t="n">
        <f aca="false">L16+K17</f>
        <v>-5290.66</v>
      </c>
      <c r="M17" s="54" t="n">
        <f aca="false">K17*SUPUESTOS!$B$4</f>
        <v>865500</v>
      </c>
      <c r="N17" s="54" t="n">
        <f aca="false">N16+M17</f>
        <v>-7935990</v>
      </c>
    </row>
    <row r="18" customFormat="false" ht="13.5" hidden="false" customHeight="true" outlineLevel="0" collapsed="false">
      <c r="A18" s="55" t="s">
        <v>169</v>
      </c>
      <c r="B18" s="55" t="n">
        <v>14</v>
      </c>
      <c r="C18" s="56" t="n">
        <f aca="false">2*(SUPUESTOS!B23*(1-SUPUESTOS!B25-SUPUESTOS!B26-SUPUESTOS!B27)-SUPUESTOS!B28-SUPUESTOS!B29)-SUPUESTOS!B35</f>
        <v>241</v>
      </c>
      <c r="D18" s="57" t="n">
        <f aca="false">D17+C18</f>
        <v>-4633.83</v>
      </c>
      <c r="E18" s="54" t="n">
        <f aca="false">C18*SUPUESTOS!$B$4</f>
        <v>361500</v>
      </c>
      <c r="F18" s="54" t="n">
        <f aca="false">F17+E18</f>
        <v>-6950745</v>
      </c>
      <c r="G18" s="56" t="n">
        <f aca="false">3*(SUPUESTOS!B23*(1-SUPUESTOS!B25-SUPUESTOS!B26-SUPUESTOS!B27)-SUPUESTOS!B28-SUPUESTOS!B29)-SUPUESTOS!B35</f>
        <v>409</v>
      </c>
      <c r="H18" s="57" t="n">
        <f aca="false">H17+G18</f>
        <v>-4673.745</v>
      </c>
      <c r="I18" s="54" t="n">
        <f aca="false">G18*SUPUESTOS!$B$4</f>
        <v>613500</v>
      </c>
      <c r="J18" s="54" t="n">
        <f aca="false">J17+I18</f>
        <v>-7010617.5</v>
      </c>
      <c r="K18" s="56" t="n">
        <f aca="false">4*(SUPUESTOS!B23*(1-SUPUESTOS!B25-SUPUESTOS!B26-SUPUESTOS!B27)-SUPUESTOS!B28-SUPUESTOS!B29)-SUPUESTOS!B35</f>
        <v>577</v>
      </c>
      <c r="L18" s="57" t="n">
        <f aca="false">L17+K18</f>
        <v>-4713.66</v>
      </c>
      <c r="M18" s="54" t="n">
        <f aca="false">K18*SUPUESTOS!$B$4</f>
        <v>865500</v>
      </c>
      <c r="N18" s="54" t="n">
        <f aca="false">N17+M18</f>
        <v>-7070490</v>
      </c>
    </row>
    <row r="19" customFormat="false" ht="13.5" hidden="false" customHeight="true" outlineLevel="0" collapsed="false">
      <c r="A19" s="53" t="s">
        <v>170</v>
      </c>
      <c r="B19" s="53" t="n">
        <v>15</v>
      </c>
      <c r="C19" s="50" t="n">
        <f aca="false">2*(SUPUESTOS!B23*(1-SUPUESTOS!B25-SUPUESTOS!B26-SUPUESTOS!B27)-SUPUESTOS!B28-SUPUESTOS!B29)-SUPUESTOS!B35</f>
        <v>241</v>
      </c>
      <c r="D19" s="51" t="n">
        <f aca="false">D18+C19</f>
        <v>-4392.83</v>
      </c>
      <c r="E19" s="54" t="n">
        <f aca="false">C19*SUPUESTOS!$B$4</f>
        <v>361500</v>
      </c>
      <c r="F19" s="54" t="n">
        <f aca="false">F18+E19</f>
        <v>-6589245</v>
      </c>
      <c r="G19" s="50" t="n">
        <f aca="false">3*(SUPUESTOS!B23*(1-SUPUESTOS!B25-SUPUESTOS!B26-SUPUESTOS!B27)-SUPUESTOS!B28-SUPUESTOS!B29)-SUPUESTOS!B35</f>
        <v>409</v>
      </c>
      <c r="H19" s="51" t="n">
        <f aca="false">H18+G19</f>
        <v>-4264.745</v>
      </c>
      <c r="I19" s="54" t="n">
        <f aca="false">G19*SUPUESTOS!$B$4</f>
        <v>613500</v>
      </c>
      <c r="J19" s="54" t="n">
        <f aca="false">J18+I19</f>
        <v>-6397117.5</v>
      </c>
      <c r="K19" s="50" t="n">
        <f aca="false">4*(SUPUESTOS!B23*(1-SUPUESTOS!B25-SUPUESTOS!B26-SUPUESTOS!B27)-SUPUESTOS!B28-SUPUESTOS!B29)-SUPUESTOS!B35</f>
        <v>577</v>
      </c>
      <c r="L19" s="51" t="n">
        <f aca="false">L18+K19</f>
        <v>-4136.66</v>
      </c>
      <c r="M19" s="54" t="n">
        <f aca="false">K19*SUPUESTOS!$B$4</f>
        <v>865500</v>
      </c>
      <c r="N19" s="54" t="n">
        <f aca="false">N18+M19</f>
        <v>-6204990</v>
      </c>
    </row>
    <row r="20" customFormat="false" ht="13.5" hidden="false" customHeight="true" outlineLevel="0" collapsed="false">
      <c r="A20" s="55" t="s">
        <v>171</v>
      </c>
      <c r="B20" s="55" t="n">
        <v>16</v>
      </c>
      <c r="C20" s="56" t="n">
        <f aca="false">2*(SUPUESTOS!B23*(1-SUPUESTOS!B25-SUPUESTOS!B26-SUPUESTOS!B27)-SUPUESTOS!B28-SUPUESTOS!B29)-SUPUESTOS!B35</f>
        <v>241</v>
      </c>
      <c r="D20" s="57" t="n">
        <f aca="false">D19+C20</f>
        <v>-4151.83</v>
      </c>
      <c r="E20" s="54" t="n">
        <f aca="false">C20*SUPUESTOS!$B$4</f>
        <v>361500</v>
      </c>
      <c r="F20" s="54" t="n">
        <f aca="false">F19+E20</f>
        <v>-6227745</v>
      </c>
      <c r="G20" s="56" t="n">
        <f aca="false">3*(SUPUESTOS!B23*(1-SUPUESTOS!B25-SUPUESTOS!B26-SUPUESTOS!B27)-SUPUESTOS!B28-SUPUESTOS!B29)-SUPUESTOS!B35</f>
        <v>409</v>
      </c>
      <c r="H20" s="57" t="n">
        <f aca="false">H19+G20</f>
        <v>-3855.745</v>
      </c>
      <c r="I20" s="54" t="n">
        <f aca="false">G20*SUPUESTOS!$B$4</f>
        <v>613500</v>
      </c>
      <c r="J20" s="54" t="n">
        <f aca="false">J19+I20</f>
        <v>-5783617.5</v>
      </c>
      <c r="K20" s="56" t="n">
        <f aca="false">4*(SUPUESTOS!B23*(1-SUPUESTOS!B25-SUPUESTOS!B26-SUPUESTOS!B27)-SUPUESTOS!B28-SUPUESTOS!B29)-SUPUESTOS!B35</f>
        <v>577</v>
      </c>
      <c r="L20" s="57" t="n">
        <f aca="false">L19+K20</f>
        <v>-3559.66</v>
      </c>
      <c r="M20" s="54" t="n">
        <f aca="false">K20*SUPUESTOS!$B$4</f>
        <v>865500</v>
      </c>
      <c r="N20" s="54" t="n">
        <f aca="false">N19+M20</f>
        <v>-5339490</v>
      </c>
    </row>
    <row r="21" customFormat="false" ht="13.5" hidden="false" customHeight="true" outlineLevel="0" collapsed="false">
      <c r="A21" s="53" t="s">
        <v>172</v>
      </c>
      <c r="B21" s="53" t="n">
        <v>17</v>
      </c>
      <c r="C21" s="50" t="n">
        <f aca="false">2*(SUPUESTOS!B23*(1-SUPUESTOS!B25-SUPUESTOS!B26-SUPUESTOS!B27)-SUPUESTOS!B28-SUPUESTOS!B29)-SUPUESTOS!B35</f>
        <v>241</v>
      </c>
      <c r="D21" s="51" t="n">
        <f aca="false">D20+C21</f>
        <v>-3910.83</v>
      </c>
      <c r="E21" s="54" t="n">
        <f aca="false">C21*SUPUESTOS!$B$4</f>
        <v>361500</v>
      </c>
      <c r="F21" s="54" t="n">
        <f aca="false">F20+E21</f>
        <v>-5866245</v>
      </c>
      <c r="G21" s="50" t="n">
        <f aca="false">3*(SUPUESTOS!B23*(1-SUPUESTOS!B25-SUPUESTOS!B26-SUPUESTOS!B27)-SUPUESTOS!B28-SUPUESTOS!B29)-SUPUESTOS!B35</f>
        <v>409</v>
      </c>
      <c r="H21" s="51" t="n">
        <f aca="false">H20+G21</f>
        <v>-3446.745</v>
      </c>
      <c r="I21" s="54" t="n">
        <f aca="false">G21*SUPUESTOS!$B$4</f>
        <v>613500</v>
      </c>
      <c r="J21" s="54" t="n">
        <f aca="false">J20+I21</f>
        <v>-5170117.5</v>
      </c>
      <c r="K21" s="50" t="n">
        <f aca="false">4*(SUPUESTOS!B23*(1-SUPUESTOS!B25-SUPUESTOS!B26-SUPUESTOS!B27)-SUPUESTOS!B28-SUPUESTOS!B29)-SUPUESTOS!B35</f>
        <v>577</v>
      </c>
      <c r="L21" s="51" t="n">
        <f aca="false">L20+K21</f>
        <v>-2982.66</v>
      </c>
      <c r="M21" s="54" t="n">
        <f aca="false">K21*SUPUESTOS!$B$4</f>
        <v>865500</v>
      </c>
      <c r="N21" s="54" t="n">
        <f aca="false">N20+M21</f>
        <v>-4473990</v>
      </c>
    </row>
    <row r="22" customFormat="false" ht="13.5" hidden="false" customHeight="true" outlineLevel="0" collapsed="false">
      <c r="A22" s="55" t="s">
        <v>173</v>
      </c>
      <c r="B22" s="55" t="n">
        <v>18</v>
      </c>
      <c r="C22" s="56" t="n">
        <f aca="false">2*(SUPUESTOS!B23*(1-SUPUESTOS!B25-SUPUESTOS!B26-SUPUESTOS!B27)-SUPUESTOS!B28-SUPUESTOS!B29)-SUPUESTOS!B35</f>
        <v>241</v>
      </c>
      <c r="D22" s="57" t="n">
        <f aca="false">D21+C22</f>
        <v>-3669.83</v>
      </c>
      <c r="E22" s="54" t="n">
        <f aca="false">C22*SUPUESTOS!$B$4</f>
        <v>361500</v>
      </c>
      <c r="F22" s="54" t="n">
        <f aca="false">F21+E22</f>
        <v>-5504745</v>
      </c>
      <c r="G22" s="56" t="n">
        <f aca="false">3*(SUPUESTOS!B23*(1-SUPUESTOS!B25-SUPUESTOS!B26-SUPUESTOS!B27)-SUPUESTOS!B28-SUPUESTOS!B29)-SUPUESTOS!B35</f>
        <v>409</v>
      </c>
      <c r="H22" s="57" t="n">
        <f aca="false">H21+G22</f>
        <v>-3037.745</v>
      </c>
      <c r="I22" s="54" t="n">
        <f aca="false">G22*SUPUESTOS!$B$4</f>
        <v>613500</v>
      </c>
      <c r="J22" s="54" t="n">
        <f aca="false">J21+I22</f>
        <v>-4556617.5</v>
      </c>
      <c r="K22" s="56" t="n">
        <f aca="false">4*(SUPUESTOS!B23*(1-SUPUESTOS!B25-SUPUESTOS!B26-SUPUESTOS!B27)-SUPUESTOS!B28-SUPUESTOS!B29)-SUPUESTOS!B35</f>
        <v>577</v>
      </c>
      <c r="L22" s="57" t="n">
        <f aca="false">L21+K22</f>
        <v>-2405.66</v>
      </c>
      <c r="M22" s="54" t="n">
        <f aca="false">K22*SUPUESTOS!$B$4</f>
        <v>865500</v>
      </c>
      <c r="N22" s="54" t="n">
        <f aca="false">N21+M22</f>
        <v>-3608490</v>
      </c>
    </row>
    <row r="23" customFormat="false" ht="13.5" hidden="false" customHeight="true" outlineLevel="0" collapsed="false">
      <c r="A23" s="53" t="s">
        <v>174</v>
      </c>
      <c r="B23" s="53" t="n">
        <v>19</v>
      </c>
      <c r="C23" s="50" t="n">
        <f aca="false">2*(SUPUESTOS!B23*(1-SUPUESTOS!B25-SUPUESTOS!B26-SUPUESTOS!B27)-SUPUESTOS!B28-SUPUESTOS!B29)-SUPUESTOS!B35</f>
        <v>241</v>
      </c>
      <c r="D23" s="51" t="n">
        <f aca="false">D22+C23</f>
        <v>-3428.83</v>
      </c>
      <c r="E23" s="54" t="n">
        <f aca="false">C23*SUPUESTOS!$B$4</f>
        <v>361500</v>
      </c>
      <c r="F23" s="54" t="n">
        <f aca="false">F22+E23</f>
        <v>-5143245</v>
      </c>
      <c r="G23" s="50" t="n">
        <f aca="false">3*(SUPUESTOS!B23*(1-SUPUESTOS!B25-SUPUESTOS!B26-SUPUESTOS!B27)-SUPUESTOS!B28-SUPUESTOS!B29)-SUPUESTOS!B35</f>
        <v>409</v>
      </c>
      <c r="H23" s="51" t="n">
        <f aca="false">H22+G23</f>
        <v>-2628.745</v>
      </c>
      <c r="I23" s="54" t="n">
        <f aca="false">G23*SUPUESTOS!$B$4</f>
        <v>613500</v>
      </c>
      <c r="J23" s="54" t="n">
        <f aca="false">J22+I23</f>
        <v>-3943117.5</v>
      </c>
      <c r="K23" s="50" t="n">
        <f aca="false">4*(SUPUESTOS!B23*(1-SUPUESTOS!B25-SUPUESTOS!B26-SUPUESTOS!B27)-SUPUESTOS!B28-SUPUESTOS!B29)-SUPUESTOS!B35</f>
        <v>577</v>
      </c>
      <c r="L23" s="51" t="n">
        <f aca="false">L22+K23</f>
        <v>-1828.66</v>
      </c>
      <c r="M23" s="54" t="n">
        <f aca="false">K23*SUPUESTOS!$B$4</f>
        <v>865500</v>
      </c>
      <c r="N23" s="54" t="n">
        <f aca="false">N22+M23</f>
        <v>-2742990</v>
      </c>
    </row>
    <row r="24" customFormat="false" ht="13.5" hidden="false" customHeight="true" outlineLevel="0" collapsed="false">
      <c r="A24" s="55" t="s">
        <v>175</v>
      </c>
      <c r="B24" s="55" t="n">
        <v>20</v>
      </c>
      <c r="C24" s="56" t="n">
        <f aca="false">2*(SUPUESTOS!B23*(1-SUPUESTOS!B25-SUPUESTOS!B26-SUPUESTOS!B27)-SUPUESTOS!B28-SUPUESTOS!B29)-SUPUESTOS!B35</f>
        <v>241</v>
      </c>
      <c r="D24" s="57" t="n">
        <f aca="false">D23+C24</f>
        <v>-3187.83</v>
      </c>
      <c r="E24" s="54" t="n">
        <f aca="false">C24*SUPUESTOS!$B$4</f>
        <v>361500</v>
      </c>
      <c r="F24" s="54" t="n">
        <f aca="false">F23+E24</f>
        <v>-4781745</v>
      </c>
      <c r="G24" s="56" t="n">
        <f aca="false">3*(SUPUESTOS!B23*(1-SUPUESTOS!B25-SUPUESTOS!B26-SUPUESTOS!B27)-SUPUESTOS!B28-SUPUESTOS!B29)-SUPUESTOS!B35</f>
        <v>409</v>
      </c>
      <c r="H24" s="57" t="n">
        <f aca="false">H23+G24</f>
        <v>-2219.745</v>
      </c>
      <c r="I24" s="54" t="n">
        <f aca="false">G24*SUPUESTOS!$B$4</f>
        <v>613500</v>
      </c>
      <c r="J24" s="54" t="n">
        <f aca="false">J23+I24</f>
        <v>-3329617.5</v>
      </c>
      <c r="K24" s="56" t="n">
        <f aca="false">4*(SUPUESTOS!B23*(1-SUPUESTOS!B25-SUPUESTOS!B26-SUPUESTOS!B27)-SUPUESTOS!B28-SUPUESTOS!B29)-SUPUESTOS!B35</f>
        <v>577</v>
      </c>
      <c r="L24" s="57" t="n">
        <f aca="false">L23+K24</f>
        <v>-1251.66</v>
      </c>
      <c r="M24" s="54" t="n">
        <f aca="false">K24*SUPUESTOS!$B$4</f>
        <v>865500</v>
      </c>
      <c r="N24" s="54" t="n">
        <f aca="false">N23+M24</f>
        <v>-1877490</v>
      </c>
    </row>
    <row r="25" customFormat="false" ht="13.5" hidden="false" customHeight="true" outlineLevel="0" collapsed="false">
      <c r="A25" s="53" t="s">
        <v>176</v>
      </c>
      <c r="B25" s="53" t="n">
        <v>21</v>
      </c>
      <c r="C25" s="50" t="n">
        <f aca="false">2*(SUPUESTOS!B23*(1-SUPUESTOS!B25-SUPUESTOS!B26-SUPUESTOS!B27)-SUPUESTOS!B28-SUPUESTOS!B29)-SUPUESTOS!B35</f>
        <v>241</v>
      </c>
      <c r="D25" s="51" t="n">
        <f aca="false">D24+C25</f>
        <v>-2946.83</v>
      </c>
      <c r="E25" s="54" t="n">
        <f aca="false">C25*SUPUESTOS!$B$4</f>
        <v>361500</v>
      </c>
      <c r="F25" s="54" t="n">
        <f aca="false">F24+E25</f>
        <v>-4420245</v>
      </c>
      <c r="G25" s="50" t="n">
        <f aca="false">3*(SUPUESTOS!B23*(1-SUPUESTOS!B25-SUPUESTOS!B26-SUPUESTOS!B27)-SUPUESTOS!B28-SUPUESTOS!B29)-SUPUESTOS!B35</f>
        <v>409</v>
      </c>
      <c r="H25" s="51" t="n">
        <f aca="false">H24+G25</f>
        <v>-1810.745</v>
      </c>
      <c r="I25" s="54" t="n">
        <f aca="false">G25*SUPUESTOS!$B$4</f>
        <v>613500</v>
      </c>
      <c r="J25" s="54" t="n">
        <f aca="false">J24+I25</f>
        <v>-2716117.5</v>
      </c>
      <c r="K25" s="50" t="n">
        <f aca="false">4*(SUPUESTOS!B23*(1-SUPUESTOS!B25-SUPUESTOS!B26-SUPUESTOS!B27)-SUPUESTOS!B28-SUPUESTOS!B29)-SUPUESTOS!B35</f>
        <v>577</v>
      </c>
      <c r="L25" s="51" t="n">
        <f aca="false">L24+K25</f>
        <v>-674.66</v>
      </c>
      <c r="M25" s="54" t="n">
        <f aca="false">K25*SUPUESTOS!$B$4</f>
        <v>865500</v>
      </c>
      <c r="N25" s="54" t="n">
        <f aca="false">N24+M25</f>
        <v>-1011990</v>
      </c>
    </row>
    <row r="26" customFormat="false" ht="13.5" hidden="false" customHeight="true" outlineLevel="0" collapsed="false">
      <c r="A26" s="55" t="s">
        <v>177</v>
      </c>
      <c r="B26" s="55" t="n">
        <v>22</v>
      </c>
      <c r="C26" s="56" t="n">
        <f aca="false">2*(SUPUESTOS!B23*(1-SUPUESTOS!B25-SUPUESTOS!B26-SUPUESTOS!B27)-SUPUESTOS!B28-SUPUESTOS!B29)-SUPUESTOS!B35</f>
        <v>241</v>
      </c>
      <c r="D26" s="57" t="n">
        <f aca="false">D25+C26</f>
        <v>-2705.83</v>
      </c>
      <c r="E26" s="54" t="n">
        <f aca="false">C26*SUPUESTOS!$B$4</f>
        <v>361500</v>
      </c>
      <c r="F26" s="54" t="n">
        <f aca="false">F25+E26</f>
        <v>-4058745</v>
      </c>
      <c r="G26" s="56" t="n">
        <f aca="false">3*(SUPUESTOS!B23*(1-SUPUESTOS!B25-SUPUESTOS!B26-SUPUESTOS!B27)-SUPUESTOS!B28-SUPUESTOS!B29)-SUPUESTOS!B35</f>
        <v>409</v>
      </c>
      <c r="H26" s="57" t="n">
        <f aca="false">H25+G26</f>
        <v>-1401.745</v>
      </c>
      <c r="I26" s="54" t="n">
        <f aca="false">G26*SUPUESTOS!$B$4</f>
        <v>613500</v>
      </c>
      <c r="J26" s="54" t="n">
        <f aca="false">J25+I26</f>
        <v>-2102617.5</v>
      </c>
      <c r="K26" s="56" t="n">
        <f aca="false">4*(SUPUESTOS!B23*(1-SUPUESTOS!B25-SUPUESTOS!B26-SUPUESTOS!B27)-SUPUESTOS!B28-SUPUESTOS!B29)-SUPUESTOS!B35</f>
        <v>577</v>
      </c>
      <c r="L26" s="57" t="n">
        <f aca="false">L25+K26</f>
        <v>-97.6599999999999</v>
      </c>
      <c r="M26" s="54" t="n">
        <f aca="false">K26*SUPUESTOS!$B$4</f>
        <v>865500</v>
      </c>
      <c r="N26" s="54" t="n">
        <f aca="false">N25+M26</f>
        <v>-146490</v>
      </c>
    </row>
    <row r="27" customFormat="false" ht="13.5" hidden="false" customHeight="true" outlineLevel="0" collapsed="false">
      <c r="A27" s="53" t="s">
        <v>178</v>
      </c>
      <c r="B27" s="53" t="n">
        <v>23</v>
      </c>
      <c r="C27" s="50" t="n">
        <f aca="false">2*(SUPUESTOS!B23*(1-SUPUESTOS!B25-SUPUESTOS!B26-SUPUESTOS!B27)-SUPUESTOS!B28-SUPUESTOS!B29)-SUPUESTOS!B35</f>
        <v>241</v>
      </c>
      <c r="D27" s="51" t="n">
        <f aca="false">D26+C27</f>
        <v>-2464.83</v>
      </c>
      <c r="E27" s="54" t="n">
        <f aca="false">C27*SUPUESTOS!$B$4</f>
        <v>361500</v>
      </c>
      <c r="F27" s="54" t="n">
        <f aca="false">F26+E27</f>
        <v>-3697245</v>
      </c>
      <c r="G27" s="50" t="n">
        <f aca="false">3*(SUPUESTOS!B23*(1-SUPUESTOS!B25-SUPUESTOS!B26-SUPUESTOS!B27)-SUPUESTOS!B28-SUPUESTOS!B29)-SUPUESTOS!B35</f>
        <v>409</v>
      </c>
      <c r="H27" s="51" t="n">
        <f aca="false">H26+G27</f>
        <v>-992.745000000001</v>
      </c>
      <c r="I27" s="54" t="n">
        <f aca="false">G27*SUPUESTOS!$B$4</f>
        <v>613500</v>
      </c>
      <c r="J27" s="54" t="n">
        <f aca="false">J26+I27</f>
        <v>-1489117.5</v>
      </c>
      <c r="K27" s="50" t="n">
        <f aca="false">4*(SUPUESTOS!B23*(1-SUPUESTOS!B25-SUPUESTOS!B26-SUPUESTOS!B27)-SUPUESTOS!B28-SUPUESTOS!B29)-SUPUESTOS!B35</f>
        <v>577</v>
      </c>
      <c r="L27" s="51" t="n">
        <f aca="false">L26+K27</f>
        <v>479.34</v>
      </c>
      <c r="M27" s="54" t="n">
        <f aca="false">K27*SUPUESTOS!$B$4</f>
        <v>865500</v>
      </c>
      <c r="N27" s="54" t="n">
        <f aca="false">N26+M27</f>
        <v>719010</v>
      </c>
    </row>
    <row r="28" customFormat="false" ht="13.5" hidden="false" customHeight="true" outlineLevel="0" collapsed="false">
      <c r="A28" s="55" t="s">
        <v>179</v>
      </c>
      <c r="B28" s="55" t="n">
        <v>24</v>
      </c>
      <c r="C28" s="56" t="n">
        <f aca="false">2*(SUPUESTOS!B23*(1-SUPUESTOS!B25-SUPUESTOS!B26-SUPUESTOS!B27)-SUPUESTOS!B28-SUPUESTOS!B29)-SUPUESTOS!B35</f>
        <v>241</v>
      </c>
      <c r="D28" s="57" t="n">
        <f aca="false">D27+C28</f>
        <v>-2223.83</v>
      </c>
      <c r="E28" s="54" t="n">
        <f aca="false">C28*SUPUESTOS!$B$4</f>
        <v>361500</v>
      </c>
      <c r="F28" s="54" t="n">
        <f aca="false">F27+E28</f>
        <v>-3335745</v>
      </c>
      <c r="G28" s="56" t="n">
        <f aca="false">3*(SUPUESTOS!B23*(1-SUPUESTOS!B25-SUPUESTOS!B26-SUPUESTOS!B27)-SUPUESTOS!B28-SUPUESTOS!B29)-SUPUESTOS!B35</f>
        <v>409</v>
      </c>
      <c r="H28" s="57" t="n">
        <f aca="false">H27+G28</f>
        <v>-583.745000000001</v>
      </c>
      <c r="I28" s="54" t="n">
        <f aca="false">G28*SUPUESTOS!$B$4</f>
        <v>613500</v>
      </c>
      <c r="J28" s="54" t="n">
        <f aca="false">J27+I28</f>
        <v>-875617.500000002</v>
      </c>
      <c r="K28" s="56" t="n">
        <f aca="false">4*(SUPUESTOS!B23*(1-SUPUESTOS!B25-SUPUESTOS!B26-SUPUESTOS!B27)-SUPUESTOS!B28-SUPUESTOS!B29)-SUPUESTOS!B35</f>
        <v>577</v>
      </c>
      <c r="L28" s="57" t="n">
        <f aca="false">L27+K28</f>
        <v>1056.34</v>
      </c>
      <c r="M28" s="54" t="n">
        <f aca="false">K28*SUPUESTOS!$B$4</f>
        <v>865500</v>
      </c>
      <c r="N28" s="54" t="n">
        <f aca="false">N27+M28</f>
        <v>1584510</v>
      </c>
    </row>
    <row r="29" customFormat="false" ht="13.5" hidden="false" customHeight="true" outlineLevel="0" collapsed="false">
      <c r="A29" s="53" t="s">
        <v>180</v>
      </c>
      <c r="B29" s="53" t="n">
        <v>25</v>
      </c>
      <c r="C29" s="50" t="n">
        <f aca="false">2*(SUPUESTOS!B23*(1-SUPUESTOS!B25-SUPUESTOS!B26-SUPUESTOS!B27)-SUPUESTOS!B28-SUPUESTOS!B29)-SUPUESTOS!B35</f>
        <v>241</v>
      </c>
      <c r="D29" s="51" t="n">
        <f aca="false">D28+C29</f>
        <v>-1982.83</v>
      </c>
      <c r="E29" s="54" t="n">
        <f aca="false">C29*SUPUESTOS!$B$4</f>
        <v>361500</v>
      </c>
      <c r="F29" s="54" t="n">
        <f aca="false">F28+E29</f>
        <v>-2974245</v>
      </c>
      <c r="G29" s="50" t="n">
        <f aca="false">3*(SUPUESTOS!B23*(1-SUPUESTOS!B25-SUPUESTOS!B26-SUPUESTOS!B27)-SUPUESTOS!B28-SUPUESTOS!B29)-SUPUESTOS!B35</f>
        <v>409</v>
      </c>
      <c r="H29" s="51" t="n">
        <f aca="false">H28+G29</f>
        <v>-174.745000000001</v>
      </c>
      <c r="I29" s="54" t="n">
        <f aca="false">G29*SUPUESTOS!$B$4</f>
        <v>613500</v>
      </c>
      <c r="J29" s="54" t="n">
        <f aca="false">J28+I29</f>
        <v>-262117.500000002</v>
      </c>
      <c r="K29" s="50" t="n">
        <f aca="false">4*(SUPUESTOS!B23*(1-SUPUESTOS!B25-SUPUESTOS!B26-SUPUESTOS!B27)-SUPUESTOS!B28-SUPUESTOS!B29)-SUPUESTOS!B35</f>
        <v>577</v>
      </c>
      <c r="L29" s="51" t="n">
        <f aca="false">L28+K29</f>
        <v>1633.34</v>
      </c>
      <c r="M29" s="54" t="n">
        <f aca="false">K29*SUPUESTOS!$B$4</f>
        <v>865500</v>
      </c>
      <c r="N29" s="54" t="n">
        <f aca="false">N28+M29</f>
        <v>2450010</v>
      </c>
    </row>
    <row r="30" customFormat="false" ht="13.5" hidden="false" customHeight="true" outlineLevel="0" collapsed="false">
      <c r="A30" s="55" t="s">
        <v>181</v>
      </c>
      <c r="B30" s="55" t="n">
        <v>26</v>
      </c>
      <c r="C30" s="56" t="n">
        <f aca="false">2*(SUPUESTOS!B23*(1-SUPUESTOS!B25-SUPUESTOS!B26-SUPUESTOS!B27)-SUPUESTOS!B28-SUPUESTOS!B29)-SUPUESTOS!B35</f>
        <v>241</v>
      </c>
      <c r="D30" s="57" t="n">
        <f aca="false">D29+C30</f>
        <v>-1741.83</v>
      </c>
      <c r="E30" s="54" t="n">
        <f aca="false">C30*SUPUESTOS!$B$4</f>
        <v>361500</v>
      </c>
      <c r="F30" s="54" t="n">
        <f aca="false">F29+E30</f>
        <v>-2612745</v>
      </c>
      <c r="G30" s="56" t="n">
        <f aca="false">3*(SUPUESTOS!B23*(1-SUPUESTOS!B25-SUPUESTOS!B26-SUPUESTOS!B27)-SUPUESTOS!B28-SUPUESTOS!B29)-SUPUESTOS!B35</f>
        <v>409</v>
      </c>
      <c r="H30" s="57" t="n">
        <f aca="false">H29+G30</f>
        <v>234.254999999999</v>
      </c>
      <c r="I30" s="54" t="n">
        <f aca="false">G30*SUPUESTOS!$B$4</f>
        <v>613500</v>
      </c>
      <c r="J30" s="54" t="n">
        <f aca="false">J29+I30</f>
        <v>351382.499999998</v>
      </c>
      <c r="K30" s="56" t="n">
        <f aca="false">4*(SUPUESTOS!B23*(1-SUPUESTOS!B25-SUPUESTOS!B26-SUPUESTOS!B27)-SUPUESTOS!B28-SUPUESTOS!B29)-SUPUESTOS!B35</f>
        <v>577</v>
      </c>
      <c r="L30" s="57" t="n">
        <f aca="false">L29+K30</f>
        <v>2210.34</v>
      </c>
      <c r="M30" s="54" t="n">
        <f aca="false">K30*SUPUESTOS!$B$4</f>
        <v>865500</v>
      </c>
      <c r="N30" s="54" t="n">
        <f aca="false">N29+M30</f>
        <v>3315510</v>
      </c>
    </row>
    <row r="31" customFormat="false" ht="13.5" hidden="false" customHeight="true" outlineLevel="0" collapsed="false">
      <c r="A31" s="53" t="s">
        <v>182</v>
      </c>
      <c r="B31" s="53" t="n">
        <v>27</v>
      </c>
      <c r="C31" s="50" t="n">
        <f aca="false">2*(SUPUESTOS!B23*(1-SUPUESTOS!B25-SUPUESTOS!B26-SUPUESTOS!B27)-SUPUESTOS!B28-SUPUESTOS!B29)-SUPUESTOS!B35</f>
        <v>241</v>
      </c>
      <c r="D31" s="51" t="n">
        <f aca="false">D30+C31</f>
        <v>-1500.83</v>
      </c>
      <c r="E31" s="54" t="n">
        <f aca="false">C31*SUPUESTOS!$B$4</f>
        <v>361500</v>
      </c>
      <c r="F31" s="54" t="n">
        <f aca="false">F30+E31</f>
        <v>-2251245</v>
      </c>
      <c r="G31" s="50" t="n">
        <f aca="false">3*(SUPUESTOS!B23*(1-SUPUESTOS!B25-SUPUESTOS!B26-SUPUESTOS!B27)-SUPUESTOS!B28-SUPUESTOS!B29)-SUPUESTOS!B35</f>
        <v>409</v>
      </c>
      <c r="H31" s="51" t="n">
        <f aca="false">H30+G31</f>
        <v>643.254999999999</v>
      </c>
      <c r="I31" s="54" t="n">
        <f aca="false">G31*SUPUESTOS!$B$4</f>
        <v>613500</v>
      </c>
      <c r="J31" s="54" t="n">
        <f aca="false">J30+I31</f>
        <v>964882.499999998</v>
      </c>
      <c r="K31" s="50" t="n">
        <f aca="false">4*(SUPUESTOS!B23*(1-SUPUESTOS!B25-SUPUESTOS!B26-SUPUESTOS!B27)-SUPUESTOS!B28-SUPUESTOS!B29)-SUPUESTOS!B35</f>
        <v>577</v>
      </c>
      <c r="L31" s="51" t="n">
        <f aca="false">L30+K31</f>
        <v>2787.34</v>
      </c>
      <c r="M31" s="54" t="n">
        <f aca="false">K31*SUPUESTOS!$B$4</f>
        <v>865500</v>
      </c>
      <c r="N31" s="54" t="n">
        <f aca="false">N30+M31</f>
        <v>4181010</v>
      </c>
    </row>
    <row r="32" customFormat="false" ht="13.5" hidden="false" customHeight="true" outlineLevel="0" collapsed="false">
      <c r="A32" s="55" t="s">
        <v>183</v>
      </c>
      <c r="B32" s="55" t="n">
        <v>28</v>
      </c>
      <c r="C32" s="56" t="n">
        <f aca="false">2*(SUPUESTOS!B23*(1-SUPUESTOS!B25-SUPUESTOS!B26-SUPUESTOS!B27)-SUPUESTOS!B28-SUPUESTOS!B29)-SUPUESTOS!B35</f>
        <v>241</v>
      </c>
      <c r="D32" s="57" t="n">
        <f aca="false">D31+C32</f>
        <v>-1259.83</v>
      </c>
      <c r="E32" s="54" t="n">
        <f aca="false">C32*SUPUESTOS!$B$4</f>
        <v>361500</v>
      </c>
      <c r="F32" s="54" t="n">
        <f aca="false">F31+E32</f>
        <v>-1889745</v>
      </c>
      <c r="G32" s="56" t="n">
        <f aca="false">3*(SUPUESTOS!B23*(1-SUPUESTOS!B25-SUPUESTOS!B26-SUPUESTOS!B27)-SUPUESTOS!B28-SUPUESTOS!B29)-SUPUESTOS!B35</f>
        <v>409</v>
      </c>
      <c r="H32" s="57" t="n">
        <f aca="false">H31+G32</f>
        <v>1052.255</v>
      </c>
      <c r="I32" s="54" t="n">
        <f aca="false">G32*SUPUESTOS!$B$4</f>
        <v>613500</v>
      </c>
      <c r="J32" s="54" t="n">
        <f aca="false">J31+I32</f>
        <v>1578382.5</v>
      </c>
      <c r="K32" s="56" t="n">
        <f aca="false">4*(SUPUESTOS!B23*(1-SUPUESTOS!B25-SUPUESTOS!B26-SUPUESTOS!B27)-SUPUESTOS!B28-SUPUESTOS!B29)-SUPUESTOS!B35</f>
        <v>577</v>
      </c>
      <c r="L32" s="57" t="n">
        <f aca="false">L31+K32</f>
        <v>3364.34</v>
      </c>
      <c r="M32" s="54" t="n">
        <f aca="false">K32*SUPUESTOS!$B$4</f>
        <v>865500</v>
      </c>
      <c r="N32" s="54" t="n">
        <f aca="false">N31+M32</f>
        <v>5046510</v>
      </c>
    </row>
    <row r="33" customFormat="false" ht="13.5" hidden="false" customHeight="true" outlineLevel="0" collapsed="false">
      <c r="A33" s="53" t="s">
        <v>184</v>
      </c>
      <c r="B33" s="53" t="n">
        <v>29</v>
      </c>
      <c r="C33" s="50" t="n">
        <f aca="false">2*(SUPUESTOS!B23*(1-SUPUESTOS!B25-SUPUESTOS!B26-SUPUESTOS!B27)-SUPUESTOS!B28-SUPUESTOS!B29)-SUPUESTOS!B35</f>
        <v>241</v>
      </c>
      <c r="D33" s="51" t="n">
        <f aca="false">D32+C33</f>
        <v>-1018.83</v>
      </c>
      <c r="E33" s="54" t="n">
        <f aca="false">C33*SUPUESTOS!$B$4</f>
        <v>361500</v>
      </c>
      <c r="F33" s="54" t="n">
        <f aca="false">F32+E33</f>
        <v>-1528245</v>
      </c>
      <c r="G33" s="50" t="n">
        <f aca="false">3*(SUPUESTOS!B23*(1-SUPUESTOS!B25-SUPUESTOS!B26-SUPUESTOS!B27)-SUPUESTOS!B28-SUPUESTOS!B29)-SUPUESTOS!B35</f>
        <v>409</v>
      </c>
      <c r="H33" s="51" t="n">
        <f aca="false">H32+G33</f>
        <v>1461.255</v>
      </c>
      <c r="I33" s="54" t="n">
        <f aca="false">G33*SUPUESTOS!$B$4</f>
        <v>613500</v>
      </c>
      <c r="J33" s="54" t="n">
        <f aca="false">J32+I33</f>
        <v>2191882.5</v>
      </c>
      <c r="K33" s="50" t="n">
        <f aca="false">4*(SUPUESTOS!B23*(1-SUPUESTOS!B25-SUPUESTOS!B26-SUPUESTOS!B27)-SUPUESTOS!B28-SUPUESTOS!B29)-SUPUESTOS!B35</f>
        <v>577</v>
      </c>
      <c r="L33" s="51" t="n">
        <f aca="false">L32+K33</f>
        <v>3941.34</v>
      </c>
      <c r="M33" s="54" t="n">
        <f aca="false">K33*SUPUESTOS!$B$4</f>
        <v>865500</v>
      </c>
      <c r="N33" s="54" t="n">
        <f aca="false">N32+M33</f>
        <v>5912010</v>
      </c>
    </row>
    <row r="34" customFormat="false" ht="13.5" hidden="false" customHeight="true" outlineLevel="0" collapsed="false">
      <c r="A34" s="55" t="s">
        <v>185</v>
      </c>
      <c r="B34" s="55" t="n">
        <v>30</v>
      </c>
      <c r="C34" s="56" t="n">
        <f aca="false">2*(SUPUESTOS!B23*(1-SUPUESTOS!B25-SUPUESTOS!B26-SUPUESTOS!B27)-SUPUESTOS!B28-SUPUESTOS!B29)-SUPUESTOS!B35</f>
        <v>241</v>
      </c>
      <c r="D34" s="57" t="n">
        <f aca="false">D33+C34</f>
        <v>-777.830000000001</v>
      </c>
      <c r="E34" s="54" t="n">
        <f aca="false">C34*SUPUESTOS!$B$4</f>
        <v>361500</v>
      </c>
      <c r="F34" s="54" t="n">
        <f aca="false">F33+E34</f>
        <v>-1166745</v>
      </c>
      <c r="G34" s="56" t="n">
        <f aca="false">3*(SUPUESTOS!B23*(1-SUPUESTOS!B25-SUPUESTOS!B26-SUPUESTOS!B27)-SUPUESTOS!B28-SUPUESTOS!B29)-SUPUESTOS!B35</f>
        <v>409</v>
      </c>
      <c r="H34" s="57" t="n">
        <f aca="false">H33+G34</f>
        <v>1870.255</v>
      </c>
      <c r="I34" s="54" t="n">
        <f aca="false">G34*SUPUESTOS!$B$4</f>
        <v>613500</v>
      </c>
      <c r="J34" s="54" t="n">
        <f aca="false">J33+I34</f>
        <v>2805382.5</v>
      </c>
      <c r="K34" s="56" t="n">
        <f aca="false">4*(SUPUESTOS!B23*(1-SUPUESTOS!B25-SUPUESTOS!B26-SUPUESTOS!B27)-SUPUESTOS!B28-SUPUESTOS!B29)-SUPUESTOS!B35</f>
        <v>577</v>
      </c>
      <c r="L34" s="57" t="n">
        <f aca="false">L33+K34</f>
        <v>4518.34</v>
      </c>
      <c r="M34" s="54" t="n">
        <f aca="false">K34*SUPUESTOS!$B$4</f>
        <v>865500</v>
      </c>
      <c r="N34" s="54" t="n">
        <f aca="false">N33+M34</f>
        <v>6777510</v>
      </c>
    </row>
    <row r="35" customFormat="false" ht="13.5" hidden="false" customHeight="true" outlineLevel="0" collapsed="false">
      <c r="A35" s="53" t="s">
        <v>186</v>
      </c>
      <c r="B35" s="53" t="n">
        <v>31</v>
      </c>
      <c r="C35" s="50" t="n">
        <f aca="false">2*(SUPUESTOS!B23*(1-SUPUESTOS!B25-SUPUESTOS!B26-SUPUESTOS!B27)-SUPUESTOS!B28-SUPUESTOS!B29)-SUPUESTOS!B35</f>
        <v>241</v>
      </c>
      <c r="D35" s="51" t="n">
        <f aca="false">D34+C35</f>
        <v>-536.830000000001</v>
      </c>
      <c r="E35" s="54" t="n">
        <f aca="false">C35*SUPUESTOS!$B$4</f>
        <v>361500</v>
      </c>
      <c r="F35" s="54" t="n">
        <f aca="false">F34+E35</f>
        <v>-805245.000000002</v>
      </c>
      <c r="G35" s="50" t="n">
        <f aca="false">3*(SUPUESTOS!B23*(1-SUPUESTOS!B25-SUPUESTOS!B26-SUPUESTOS!B27)-SUPUESTOS!B28-SUPUESTOS!B29)-SUPUESTOS!B35</f>
        <v>409</v>
      </c>
      <c r="H35" s="51" t="n">
        <f aca="false">H34+G35</f>
        <v>2279.255</v>
      </c>
      <c r="I35" s="54" t="n">
        <f aca="false">G35*SUPUESTOS!$B$4</f>
        <v>613500</v>
      </c>
      <c r="J35" s="54" t="n">
        <f aca="false">J34+I35</f>
        <v>3418882.5</v>
      </c>
      <c r="K35" s="50" t="n">
        <f aca="false">4*(SUPUESTOS!B23*(1-SUPUESTOS!B25-SUPUESTOS!B26-SUPUESTOS!B27)-SUPUESTOS!B28-SUPUESTOS!B29)-SUPUESTOS!B35</f>
        <v>577</v>
      </c>
      <c r="L35" s="51" t="n">
        <f aca="false">L34+K35</f>
        <v>5095.34</v>
      </c>
      <c r="M35" s="54" t="n">
        <f aca="false">K35*SUPUESTOS!$B$4</f>
        <v>865500</v>
      </c>
      <c r="N35" s="54" t="n">
        <f aca="false">N34+M35</f>
        <v>7643010</v>
      </c>
    </row>
    <row r="36" customFormat="false" ht="13.5" hidden="false" customHeight="true" outlineLevel="0" collapsed="false">
      <c r="A36" s="55" t="s">
        <v>187</v>
      </c>
      <c r="B36" s="55" t="n">
        <v>32</v>
      </c>
      <c r="C36" s="56" t="n">
        <f aca="false">2*(SUPUESTOS!B23*(1-SUPUESTOS!B25-SUPUESTOS!B26-SUPUESTOS!B27)-SUPUESTOS!B28-SUPUESTOS!B29)-SUPUESTOS!B35</f>
        <v>241</v>
      </c>
      <c r="D36" s="57" t="n">
        <f aca="false">D35+C36</f>
        <v>-295.830000000001</v>
      </c>
      <c r="E36" s="54" t="n">
        <f aca="false">C36*SUPUESTOS!$B$4</f>
        <v>361500</v>
      </c>
      <c r="F36" s="54" t="n">
        <f aca="false">F35+E36</f>
        <v>-443745.000000002</v>
      </c>
      <c r="G36" s="56" t="n">
        <f aca="false">3*(SUPUESTOS!B23*(1-SUPUESTOS!B25-SUPUESTOS!B26-SUPUESTOS!B27)-SUPUESTOS!B28-SUPUESTOS!B29)-SUPUESTOS!B35</f>
        <v>409</v>
      </c>
      <c r="H36" s="57" t="n">
        <f aca="false">H35+G36</f>
        <v>2688.255</v>
      </c>
      <c r="I36" s="54" t="n">
        <f aca="false">G36*SUPUESTOS!$B$4</f>
        <v>613500</v>
      </c>
      <c r="J36" s="54" t="n">
        <f aca="false">J35+I36</f>
        <v>4032382.5</v>
      </c>
      <c r="K36" s="56" t="n">
        <f aca="false">4*(SUPUESTOS!B23*(1-SUPUESTOS!B25-SUPUESTOS!B26-SUPUESTOS!B27)-SUPUESTOS!B28-SUPUESTOS!B29)-SUPUESTOS!B35</f>
        <v>577</v>
      </c>
      <c r="L36" s="57" t="n">
        <f aca="false">L35+K36</f>
        <v>5672.34</v>
      </c>
      <c r="M36" s="54" t="n">
        <f aca="false">K36*SUPUESTOS!$B$4</f>
        <v>865500</v>
      </c>
      <c r="N36" s="54" t="n">
        <f aca="false">N35+M36</f>
        <v>8508510</v>
      </c>
    </row>
    <row r="37" customFormat="false" ht="13.5" hidden="false" customHeight="true" outlineLevel="0" collapsed="false">
      <c r="A37" s="53" t="s">
        <v>188</v>
      </c>
      <c r="B37" s="53" t="n">
        <v>33</v>
      </c>
      <c r="C37" s="50" t="n">
        <f aca="false">2*(SUPUESTOS!B23*(1-SUPUESTOS!B25-SUPUESTOS!B26-SUPUESTOS!B27)-SUPUESTOS!B28-SUPUESTOS!B29)-SUPUESTOS!B35</f>
        <v>241</v>
      </c>
      <c r="D37" s="51" t="n">
        <f aca="false">D36+C37</f>
        <v>-54.8300000000008</v>
      </c>
      <c r="E37" s="54" t="n">
        <f aca="false">C37*SUPUESTOS!$B$4</f>
        <v>361500</v>
      </c>
      <c r="F37" s="54" t="n">
        <f aca="false">F36+E37</f>
        <v>-82245.0000000019</v>
      </c>
      <c r="G37" s="50" t="n">
        <f aca="false">3*(SUPUESTOS!B23*(1-SUPUESTOS!B25-SUPUESTOS!B26-SUPUESTOS!B27)-SUPUESTOS!B28-SUPUESTOS!B29)-SUPUESTOS!B35</f>
        <v>409</v>
      </c>
      <c r="H37" s="51" t="n">
        <f aca="false">H36+G37</f>
        <v>3097.255</v>
      </c>
      <c r="I37" s="54" t="n">
        <f aca="false">G37*SUPUESTOS!$B$4</f>
        <v>613500</v>
      </c>
      <c r="J37" s="54" t="n">
        <f aca="false">J36+I37</f>
        <v>4645882.5</v>
      </c>
      <c r="K37" s="50" t="n">
        <f aca="false">4*(SUPUESTOS!B23*(1-SUPUESTOS!B25-SUPUESTOS!B26-SUPUESTOS!B27)-SUPUESTOS!B28-SUPUESTOS!B29)-SUPUESTOS!B35</f>
        <v>577</v>
      </c>
      <c r="L37" s="51" t="n">
        <f aca="false">L36+K37</f>
        <v>6249.34</v>
      </c>
      <c r="M37" s="54" t="n">
        <f aca="false">K37*SUPUESTOS!$B$4</f>
        <v>865500</v>
      </c>
      <c r="N37" s="54" t="n">
        <f aca="false">N36+M37</f>
        <v>9374010</v>
      </c>
    </row>
    <row r="38" customFormat="false" ht="13.5" hidden="false" customHeight="true" outlineLevel="0" collapsed="false">
      <c r="A38" s="55" t="s">
        <v>189</v>
      </c>
      <c r="B38" s="55" t="n">
        <v>34</v>
      </c>
      <c r="C38" s="56" t="n">
        <f aca="false">2*(SUPUESTOS!B23*(1-SUPUESTOS!B25-SUPUESTOS!B26-SUPUESTOS!B27)-SUPUESTOS!B28-SUPUESTOS!B29)-SUPUESTOS!B35</f>
        <v>241</v>
      </c>
      <c r="D38" s="57" t="n">
        <f aca="false">D37+C38</f>
        <v>186.169999999999</v>
      </c>
      <c r="E38" s="54" t="n">
        <f aca="false">C38*SUPUESTOS!$B$4</f>
        <v>361500</v>
      </c>
      <c r="F38" s="54" t="n">
        <f aca="false">F37+E38</f>
        <v>279254.999999998</v>
      </c>
      <c r="G38" s="56" t="n">
        <f aca="false">3*(SUPUESTOS!B23*(1-SUPUESTOS!B25-SUPUESTOS!B26-SUPUESTOS!B27)-SUPUESTOS!B28-SUPUESTOS!B29)-SUPUESTOS!B35</f>
        <v>409</v>
      </c>
      <c r="H38" s="57" t="n">
        <f aca="false">H37+G38</f>
        <v>3506.255</v>
      </c>
      <c r="I38" s="54" t="n">
        <f aca="false">G38*SUPUESTOS!$B$4</f>
        <v>613500</v>
      </c>
      <c r="J38" s="54" t="n">
        <f aca="false">J37+I38</f>
        <v>5259382.5</v>
      </c>
      <c r="K38" s="56" t="n">
        <f aca="false">4*(SUPUESTOS!B23*(1-SUPUESTOS!B25-SUPUESTOS!B26-SUPUESTOS!B27)-SUPUESTOS!B28-SUPUESTOS!B29)-SUPUESTOS!B35</f>
        <v>577</v>
      </c>
      <c r="L38" s="57" t="n">
        <f aca="false">L37+K38</f>
        <v>6826.34</v>
      </c>
      <c r="M38" s="54" t="n">
        <f aca="false">K38*SUPUESTOS!$B$4</f>
        <v>865500</v>
      </c>
      <c r="N38" s="54" t="n">
        <f aca="false">N37+M38</f>
        <v>10239510</v>
      </c>
    </row>
    <row r="39" customFormat="false" ht="13.5" hidden="false" customHeight="true" outlineLevel="0" collapsed="false">
      <c r="A39" s="53" t="s">
        <v>190</v>
      </c>
      <c r="B39" s="53" t="n">
        <v>35</v>
      </c>
      <c r="C39" s="50" t="n">
        <f aca="false">2*(SUPUESTOS!B23*(1-SUPUESTOS!B25-SUPUESTOS!B26-SUPUESTOS!B27)-SUPUESTOS!B28-SUPUESTOS!B29)-SUPUESTOS!B35</f>
        <v>241</v>
      </c>
      <c r="D39" s="51" t="n">
        <f aca="false">D38+C39</f>
        <v>427.169999999999</v>
      </c>
      <c r="E39" s="54" t="n">
        <f aca="false">C39*SUPUESTOS!$B$4</f>
        <v>361500</v>
      </c>
      <c r="F39" s="54" t="n">
        <f aca="false">F38+E39</f>
        <v>640754.999999998</v>
      </c>
      <c r="G39" s="50" t="n">
        <f aca="false">3*(SUPUESTOS!B23*(1-SUPUESTOS!B25-SUPUESTOS!B26-SUPUESTOS!B27)-SUPUESTOS!B28-SUPUESTOS!B29)-SUPUESTOS!B35</f>
        <v>409</v>
      </c>
      <c r="H39" s="51" t="n">
        <f aca="false">H38+G39</f>
        <v>3915.255</v>
      </c>
      <c r="I39" s="54" t="n">
        <f aca="false">G39*SUPUESTOS!$B$4</f>
        <v>613500</v>
      </c>
      <c r="J39" s="54" t="n">
        <f aca="false">J38+I39</f>
        <v>5872882.5</v>
      </c>
      <c r="K39" s="50" t="n">
        <f aca="false">4*(SUPUESTOS!B23*(1-SUPUESTOS!B25-SUPUESTOS!B26-SUPUESTOS!B27)-SUPUESTOS!B28-SUPUESTOS!B29)-SUPUESTOS!B35</f>
        <v>577</v>
      </c>
      <c r="L39" s="51" t="n">
        <f aca="false">L38+K39</f>
        <v>7403.34</v>
      </c>
      <c r="M39" s="54" t="n">
        <f aca="false">K39*SUPUESTOS!$B$4</f>
        <v>865500</v>
      </c>
      <c r="N39" s="54" t="n">
        <f aca="false">N38+M39</f>
        <v>11105010</v>
      </c>
    </row>
    <row r="40" customFormat="false" ht="13.5" hidden="false" customHeight="true" outlineLevel="0" collapsed="false">
      <c r="A40" s="55" t="s">
        <v>191</v>
      </c>
      <c r="B40" s="55" t="n">
        <v>36</v>
      </c>
      <c r="C40" s="56" t="n">
        <f aca="false">2*(SUPUESTOS!B23*(1-SUPUESTOS!B25-SUPUESTOS!B26-SUPUESTOS!B27)-SUPUESTOS!B28-SUPUESTOS!B29)-SUPUESTOS!B35</f>
        <v>241</v>
      </c>
      <c r="D40" s="57" t="n">
        <f aca="false">D39+C40</f>
        <v>668.169999999999</v>
      </c>
      <c r="E40" s="54" t="n">
        <f aca="false">C40*SUPUESTOS!$B$4</f>
        <v>361500</v>
      </c>
      <c r="F40" s="54" t="n">
        <f aca="false">F39+E40</f>
        <v>1002255</v>
      </c>
      <c r="G40" s="56" t="n">
        <f aca="false">3*(SUPUESTOS!B23*(1-SUPUESTOS!B25-SUPUESTOS!B26-SUPUESTOS!B27)-SUPUESTOS!B28-SUPUESTOS!B29)-SUPUESTOS!B35</f>
        <v>409</v>
      </c>
      <c r="H40" s="57" t="n">
        <f aca="false">H39+G40</f>
        <v>4324.255</v>
      </c>
      <c r="I40" s="54" t="n">
        <f aca="false">G40*SUPUESTOS!$B$4</f>
        <v>613500</v>
      </c>
      <c r="J40" s="54" t="n">
        <f aca="false">J39+I40</f>
        <v>6486382.5</v>
      </c>
      <c r="K40" s="56" t="n">
        <f aca="false">4*(SUPUESTOS!B23*(1-SUPUESTOS!B25-SUPUESTOS!B26-SUPUESTOS!B27)-SUPUESTOS!B28-SUPUESTOS!B29)-SUPUESTOS!B35</f>
        <v>577</v>
      </c>
      <c r="L40" s="57" t="n">
        <f aca="false">L39+K40</f>
        <v>7980.34</v>
      </c>
      <c r="M40" s="54" t="n">
        <f aca="false">K40*SUPUESTOS!$B$4</f>
        <v>865500</v>
      </c>
      <c r="N40" s="54" t="n">
        <f aca="false">N39+M40</f>
        <v>11970510</v>
      </c>
    </row>
    <row r="41" customFormat="false" ht="15" hidden="false" customHeight="false" outlineLevel="0" collapsed="false"/>
    <row r="42" customFormat="false" ht="21.75" hidden="false" customHeight="true" outlineLevel="0" collapsed="false">
      <c r="A42" s="58" t="s">
        <v>192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</row>
    <row r="43" customFormat="false" ht="19.5" hidden="false" customHeight="true" outlineLevel="0" collapsed="false">
      <c r="A43" s="11" t="s">
        <v>193</v>
      </c>
      <c r="C43" s="59" t="s">
        <v>194</v>
      </c>
      <c r="D43" s="59"/>
      <c r="E43" s="60" t="s">
        <v>195</v>
      </c>
      <c r="F43" s="60"/>
      <c r="G43" s="61" t="s">
        <v>196</v>
      </c>
      <c r="H43" s="61"/>
      <c r="I43" s="60" t="s">
        <v>197</v>
      </c>
      <c r="J43" s="60"/>
      <c r="K43" s="62" t="s">
        <v>198</v>
      </c>
      <c r="L43" s="62"/>
      <c r="M43" s="60" t="s">
        <v>199</v>
      </c>
      <c r="N43" s="60"/>
    </row>
    <row r="44" customFormat="false" ht="15.75" hidden="false" customHeight="true" outlineLevel="0" collapsed="false">
      <c r="A44" s="63" t="s">
        <v>200</v>
      </c>
      <c r="C44" s="64" t="n">
        <f aca="false">IFERROR(IRR(C4:C40),"—")</f>
        <v>0.00439772533073652</v>
      </c>
      <c r="D44" s="65"/>
      <c r="E44" s="66" t="s">
        <v>201</v>
      </c>
      <c r="F44" s="31"/>
      <c r="G44" s="64" t="n">
        <f aca="false">IFERROR(IRR(G4:G40),"—")</f>
        <v>0.0201507331330582</v>
      </c>
      <c r="H44" s="65"/>
      <c r="I44" s="66" t="s">
        <v>201</v>
      </c>
      <c r="J44" s="31"/>
      <c r="K44" s="64" t="n">
        <f aca="false">IFERROR(IRR(K4:K40),"—")</f>
        <v>0.0289772867554678</v>
      </c>
      <c r="L44" s="65"/>
      <c r="M44" s="66" t="s">
        <v>201</v>
      </c>
      <c r="N44" s="31"/>
    </row>
    <row r="45" customFormat="false" ht="18" hidden="false" customHeight="true" outlineLevel="0" collapsed="false">
      <c r="A45" s="40" t="s">
        <v>202</v>
      </c>
      <c r="C45" s="67" t="n">
        <f aca="false">IFERROR((1+IFERROR(IRR(C4:C40),0))^12-1,"—")</f>
        <v>0.0540680410694987</v>
      </c>
      <c r="D45" s="68"/>
      <c r="E45" s="66" t="s">
        <v>201</v>
      </c>
      <c r="F45" s="31"/>
      <c r="G45" s="67" t="n">
        <f aca="false">IFERROR((1+IFERROR(IRR(G4:G40),0))^12-1,"—")</f>
        <v>0.270492635869017</v>
      </c>
      <c r="H45" s="68"/>
      <c r="I45" s="66" t="s">
        <v>201</v>
      </c>
      <c r="J45" s="31"/>
      <c r="K45" s="67" t="n">
        <f aca="false">IFERROR((1+IFERROR(IRR(K4:K40),0))^12-1,"—")</f>
        <v>0.408865262216807</v>
      </c>
      <c r="L45" s="68"/>
      <c r="M45" s="66" t="s">
        <v>201</v>
      </c>
      <c r="N45" s="31"/>
    </row>
    <row r="46" customFormat="false" ht="18" hidden="false" customHeight="true" outlineLevel="0" collapsed="false">
      <c r="A46" s="40" t="s">
        <v>203</v>
      </c>
      <c r="C46" s="69" t="n">
        <f aca="false">IFERROR(NPV(SUPUESTOS!B7,C5:C40)+C4,"—")</f>
        <v>-2359.15172097624</v>
      </c>
      <c r="D46" s="68"/>
      <c r="E46" s="52" t="n">
        <f aca="false">IF(ISNUMBER(C46),C46*SUPUESTOS!$B$4,"—")</f>
        <v>-3538727.58146436</v>
      </c>
      <c r="F46" s="31"/>
      <c r="G46" s="69" t="n">
        <f aca="false">IFERROR(NPV(SUPUESTOS!B7,G5:G40)+G4,"—")</f>
        <v>-813.398875017769</v>
      </c>
      <c r="H46" s="68"/>
      <c r="I46" s="52" t="n">
        <f aca="false">IF(ISNUMBER(G46),G46*SUPUESTOS!$B$4,"—")</f>
        <v>-1220098.31252665</v>
      </c>
      <c r="J46" s="31"/>
      <c r="K46" s="69" t="n">
        <f aca="false">IFERROR(NPV(SUPUESTOS!B7,K5:K40)+K4,"—")</f>
        <v>732.353970940705</v>
      </c>
      <c r="L46" s="68"/>
      <c r="M46" s="52" t="n">
        <f aca="false">IF(ISNUMBER(K46),K46*SUPUESTOS!$B$4,"—")</f>
        <v>1098530.95641106</v>
      </c>
      <c r="N46" s="31"/>
    </row>
    <row r="47" customFormat="false" ht="18" hidden="false" customHeight="true" outlineLevel="0" collapsed="false">
      <c r="A47" s="63" t="s">
        <v>204</v>
      </c>
      <c r="C47" s="70" t="n">
        <f aca="false">IFERROR(MATCH(0,IF(D4:D40&gt;=0,1,0),1),"&gt;36")</f>
        <v>34</v>
      </c>
      <c r="D47" s="71"/>
      <c r="E47" s="31" t="s">
        <v>205</v>
      </c>
      <c r="F47" s="31"/>
      <c r="G47" s="70" t="n">
        <f aca="false">IFERROR(MATCH(0,IF(H4:H40&gt;=0,1,0),1),"&gt;36")</f>
        <v>26</v>
      </c>
      <c r="H47" s="71"/>
      <c r="I47" s="31" t="s">
        <v>205</v>
      </c>
      <c r="J47" s="31"/>
      <c r="K47" s="70" t="n">
        <f aca="false">IFERROR(MATCH(0,IF(L4:L40&gt;=0,1,0),1),"&gt;36")</f>
        <v>23</v>
      </c>
      <c r="L47" s="71"/>
      <c r="M47" s="31" t="s">
        <v>205</v>
      </c>
      <c r="N47" s="31"/>
    </row>
    <row r="48" customFormat="false" ht="15" hidden="false" customHeight="false" outlineLevel="0" collapsed="false"/>
    <row r="49" customFormat="false" ht="15" hidden="false" customHeight="true" outlineLevel="0" collapsed="false">
      <c r="A49" s="72" t="s">
        <v>206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</row>
  </sheetData>
  <mergeCells count="12">
    <mergeCell ref="A1:N1"/>
    <mergeCell ref="C2:F2"/>
    <mergeCell ref="G2:J2"/>
    <mergeCell ref="K2:N2"/>
    <mergeCell ref="A42:N42"/>
    <mergeCell ref="C43:D43"/>
    <mergeCell ref="E43:F43"/>
    <mergeCell ref="G43:H43"/>
    <mergeCell ref="I43:J43"/>
    <mergeCell ref="K43:L43"/>
    <mergeCell ref="M43:N43"/>
    <mergeCell ref="A49:N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3"/>
    <col collapsed="false" customWidth="true" hidden="false" outlineLevel="0" max="13" min="3" style="1" width="18"/>
  </cols>
  <sheetData>
    <row r="1" customFormat="false" ht="25.5" hidden="false" customHeight="true" outlineLevel="0" collapsed="false">
      <c r="A1" s="10" t="s">
        <v>207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15" hidden="false" customHeight="false" outlineLevel="0" collapsed="false"/>
    <row r="3" customFormat="false" ht="19.5" hidden="false" customHeight="true" outlineLevel="0" collapsed="false">
      <c r="A3" s="7" t="s">
        <v>208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customFormat="false" ht="30" hidden="false" customHeight="true" outlineLevel="0" collapsed="false">
      <c r="A4" s="73" t="s">
        <v>118</v>
      </c>
      <c r="C4" s="73" t="s">
        <v>209</v>
      </c>
      <c r="D4" s="73" t="s">
        <v>210</v>
      </c>
      <c r="E4" s="73" t="s">
        <v>211</v>
      </c>
      <c r="F4" s="73" t="s">
        <v>212</v>
      </c>
      <c r="G4" s="73" t="s">
        <v>213</v>
      </c>
      <c r="H4" s="73" t="s">
        <v>214</v>
      </c>
    </row>
    <row r="5" customFormat="false" ht="15.75" hidden="false" customHeight="true" outlineLevel="0" collapsed="false">
      <c r="A5" s="15" t="s">
        <v>215</v>
      </c>
      <c r="C5" s="50" t="n">
        <f aca="false">SUPUESTOS!B22</f>
        <v>300</v>
      </c>
      <c r="D5" s="31" t="n">
        <f aca="false">C5*SUPUESTOS!$B$4</f>
        <v>450000</v>
      </c>
      <c r="E5" s="50" t="n">
        <f aca="false">SUPUESTOS!B23</f>
        <v>600</v>
      </c>
      <c r="F5" s="31" t="n">
        <f aca="false">E5*SUPUESTOS!$B$4</f>
        <v>900000</v>
      </c>
      <c r="G5" s="50" t="n">
        <f aca="false">SUPUESTOS!B24</f>
        <v>1200</v>
      </c>
      <c r="H5" s="31" t="n">
        <f aca="false">G5*SUPUESTOS!$B$4</f>
        <v>1800000</v>
      </c>
    </row>
    <row r="6" customFormat="false" ht="15.75" hidden="false" customHeight="true" outlineLevel="0" collapsed="false">
      <c r="A6" s="15" t="s">
        <v>216</v>
      </c>
      <c r="C6" s="50" t="n">
        <f aca="false">-SUPUESTOS!B22*SUPUESTOS!B25</f>
        <v>-135</v>
      </c>
      <c r="D6" s="31" t="n">
        <f aca="false">C6*SUPUESTOS!$B$4</f>
        <v>-202500</v>
      </c>
      <c r="E6" s="50" t="n">
        <f aca="false">-SUPUESTOS!B23*SUPUESTOS!B25</f>
        <v>-270</v>
      </c>
      <c r="F6" s="31" t="n">
        <f aca="false">E6*SUPUESTOS!$B$4</f>
        <v>-405000</v>
      </c>
      <c r="G6" s="50" t="n">
        <f aca="false">-SUPUESTOS!B24*SUPUESTOS!B25</f>
        <v>-540</v>
      </c>
      <c r="H6" s="31" t="n">
        <f aca="false">G6*SUPUESTOS!$B$4</f>
        <v>-810000</v>
      </c>
    </row>
    <row r="7" customFormat="false" ht="15.75" hidden="false" customHeight="true" outlineLevel="0" collapsed="false">
      <c r="A7" s="15" t="s">
        <v>217</v>
      </c>
      <c r="C7" s="50" t="n">
        <f aca="false">-SUPUESTOS!B22*SUPUESTOS!B26</f>
        <v>-45</v>
      </c>
      <c r="D7" s="31" t="n">
        <f aca="false">C7*SUPUESTOS!$B$4</f>
        <v>-67500</v>
      </c>
      <c r="E7" s="50" t="n">
        <f aca="false">-SUPUESTOS!B23*SUPUESTOS!B26</f>
        <v>-90</v>
      </c>
      <c r="F7" s="31" t="n">
        <f aca="false">E7*SUPUESTOS!$B$4</f>
        <v>-135000</v>
      </c>
      <c r="G7" s="50" t="n">
        <f aca="false">-SUPUESTOS!B24*SUPUESTOS!B26</f>
        <v>-180</v>
      </c>
      <c r="H7" s="31" t="n">
        <f aca="false">G7*SUPUESTOS!$B$4</f>
        <v>-270000</v>
      </c>
    </row>
    <row r="8" customFormat="false" ht="15.75" hidden="false" customHeight="true" outlineLevel="0" collapsed="false">
      <c r="A8" s="15" t="s">
        <v>218</v>
      </c>
      <c r="C8" s="50" t="n">
        <f aca="false">-SUPUESTOS!B22*SUPUESTOS!B27</f>
        <v>-6</v>
      </c>
      <c r="D8" s="31" t="n">
        <f aca="false">C8*SUPUESTOS!$B$4</f>
        <v>-9000</v>
      </c>
      <c r="E8" s="50" t="n">
        <f aca="false">-SUPUESTOS!B23*SUPUESTOS!B27</f>
        <v>-12</v>
      </c>
      <c r="F8" s="31" t="n">
        <f aca="false">E8*SUPUESTOS!$B$4</f>
        <v>-18000</v>
      </c>
      <c r="G8" s="50" t="n">
        <f aca="false">-SUPUESTOS!B24*SUPUESTOS!B27</f>
        <v>-24</v>
      </c>
      <c r="H8" s="31" t="n">
        <f aca="false">G8*SUPUESTOS!$B$4</f>
        <v>-36000</v>
      </c>
    </row>
    <row r="9" customFormat="false" ht="15.75" hidden="false" customHeight="true" outlineLevel="0" collapsed="false">
      <c r="A9" s="15" t="s">
        <v>219</v>
      </c>
      <c r="C9" s="50" t="n">
        <f aca="false">-SUPUESTOS!B28</f>
        <v>-35</v>
      </c>
      <c r="D9" s="31" t="n">
        <f aca="false">C9*SUPUESTOS!$B$4</f>
        <v>-52500</v>
      </c>
      <c r="E9" s="50" t="n">
        <f aca="false">-SUPUESTOS!B28</f>
        <v>-35</v>
      </c>
      <c r="F9" s="31" t="n">
        <f aca="false">E9*SUPUESTOS!$B$4</f>
        <v>-52500</v>
      </c>
      <c r="G9" s="50" t="n">
        <f aca="false">-SUPUESTOS!B28</f>
        <v>-35</v>
      </c>
      <c r="H9" s="31" t="n">
        <f aca="false">G9*SUPUESTOS!$B$4</f>
        <v>-52500</v>
      </c>
    </row>
    <row r="10" customFormat="false" ht="15.75" hidden="false" customHeight="true" outlineLevel="0" collapsed="false">
      <c r="A10" s="15" t="s">
        <v>220</v>
      </c>
      <c r="C10" s="50" t="n">
        <f aca="false">-SUPUESTOS!B29</f>
        <v>-25</v>
      </c>
      <c r="D10" s="31" t="n">
        <f aca="false">C10*SUPUESTOS!$B$4</f>
        <v>-37500</v>
      </c>
      <c r="E10" s="50" t="n">
        <f aca="false">-SUPUESTOS!B29</f>
        <v>-25</v>
      </c>
      <c r="F10" s="31" t="n">
        <f aca="false">E10*SUPUESTOS!$B$4</f>
        <v>-37500</v>
      </c>
      <c r="G10" s="50" t="n">
        <f aca="false">-SUPUESTOS!B29</f>
        <v>-25</v>
      </c>
      <c r="H10" s="31" t="n">
        <f aca="false">G10*SUPUESTOS!$B$4</f>
        <v>-37500</v>
      </c>
    </row>
    <row r="11" customFormat="false" ht="19.5" hidden="false" customHeight="true" outlineLevel="0" collapsed="false">
      <c r="A11" s="40" t="s">
        <v>221</v>
      </c>
      <c r="C11" s="69" t="n">
        <f aca="false">SUPUESTOS!B22*(1-SUPUESTOS!B25-SUPUESTOS!B26-SUPUESTOS!B27)-SUPUESTOS!B28-SUPUESTOS!B29</f>
        <v>54</v>
      </c>
      <c r="D11" s="52" t="n">
        <f aca="false">C11*SUPUESTOS!$B$4</f>
        <v>81000</v>
      </c>
      <c r="E11" s="69" t="n">
        <f aca="false">SUPUESTOS!B23*(1-SUPUESTOS!B25-SUPUESTOS!B26-SUPUESTOS!B27)-SUPUESTOS!B28-SUPUESTOS!B29</f>
        <v>168</v>
      </c>
      <c r="F11" s="52" t="n">
        <f aca="false">E11*SUPUESTOS!$B$4</f>
        <v>252000</v>
      </c>
      <c r="G11" s="69" t="n">
        <f aca="false">SUPUESTOS!B24*(1-SUPUESTOS!B25-SUPUESTOS!B26-SUPUESTOS!B27)-SUPUESTOS!B28-SUPUESTOS!B29</f>
        <v>396</v>
      </c>
      <c r="H11" s="52" t="n">
        <f aca="false">G11*SUPUESTOS!$B$4</f>
        <v>594000</v>
      </c>
    </row>
    <row r="12" customFormat="false" ht="15" hidden="false" customHeight="false" outlineLevel="0" collapsed="false"/>
    <row r="13" customFormat="false" ht="19.5" hidden="false" customHeight="true" outlineLevel="0" collapsed="false">
      <c r="A13" s="7" t="s">
        <v>222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9.5" hidden="false" customHeight="true" outlineLevel="0" collapsed="false">
      <c r="A14" s="73" t="s">
        <v>223</v>
      </c>
      <c r="C14" s="26" t="s">
        <v>115</v>
      </c>
      <c r="D14" s="26"/>
      <c r="E14" s="26"/>
      <c r="F14" s="26" t="s">
        <v>116</v>
      </c>
      <c r="G14" s="26"/>
      <c r="H14" s="26"/>
      <c r="I14" s="26" t="s">
        <v>117</v>
      </c>
      <c r="J14" s="26"/>
      <c r="K14" s="26"/>
    </row>
    <row r="15" customFormat="false" ht="18" hidden="false" customHeight="true" outlineLevel="0" collapsed="false">
      <c r="A15" s="73"/>
      <c r="C15" s="74" t="s">
        <v>224</v>
      </c>
      <c r="D15" s="74" t="s">
        <v>225</v>
      </c>
      <c r="E15" s="22" t="s">
        <v>226</v>
      </c>
      <c r="F15" s="74" t="s">
        <v>224</v>
      </c>
      <c r="G15" s="74" t="s">
        <v>225</v>
      </c>
      <c r="H15" s="22" t="s">
        <v>226</v>
      </c>
      <c r="I15" s="74" t="s">
        <v>224</v>
      </c>
      <c r="J15" s="74" t="s">
        <v>225</v>
      </c>
      <c r="K15" s="22" t="s">
        <v>226</v>
      </c>
    </row>
    <row r="16" customFormat="false" ht="21.75" hidden="false" customHeight="true" outlineLevel="0" collapsed="false">
      <c r="A16" s="75" t="s">
        <v>227</v>
      </c>
      <c r="C16" s="76" t="n">
        <f aca="false">(-(2*SUPUESTOS!B17+SUPUESTOS!B19+2*SUPUESTOS!B17*SUPUESTOS!B15+(2*SUPUESTOS!B17+SUPUESTOS!B19+2*SUPUESTOS!B17*SUPUESTOS!B15)*SUPUESTOS!B10+(2*SUPUESTOS!B17+SUPUESTOS!B19+2*SUPUESTOS!B17*SUPUESTOS!B15)*(1+SUPUESTOS!B10)*SUPUESTOS!B11+(2*SUPUESTOS!B17+SUPUESTOS!B19+2*SUPUESTOS!B17*SUPUESTOS!B15)*(1+SUPUESTOS!B10)*SUPUESTOS!B12+(2*SUPUESTOS!B17+SUPUESTOS!B19+2*SUPUESTOS!B17*SUPUESTOS!B15)*SUPUESTOS!B13+SUPUESTOS!B14-(2*SUPUESTOS!B17+SUPUESTOS!B19+2*SUPUESTOS!B17*SUPUESTOS!B15)*(1+SUPUESTOS!B10)*(SUPUESTOS!B11+SUPUESTOS!B12)+SUPUESTOS!$B$40+2*SUPUESTOS!$B$42))+(2*(SUPUESTOS!B22*(1-SUPUESTOS!B25-SUPUESTOS!B26-SUPUESTOS!B27)-SUPUESTOS!B28-SUPUESTOS!B29)-SUPUESTOS!B35)*((1-(1+SUPUESTOS!B7)^(-36))/SUPUESTOS!B7)</f>
        <v>-7703.12951191988</v>
      </c>
      <c r="D16" s="77" t="n">
        <f aca="false">IFERROR((1+(2*(SUPUESTOS!B22*(1-SUPUESTOS!B25-SUPUESTOS!B26-SUPUESTOS!B27)-SUPUESTOS!B28-SUPUESTOS!B29)-SUPUESTOS!B35/(2*SUPUESTOS!B17+SUPUESTOS!B19+2*SUPUESTOS!B17*SUPUESTOS!B15+(2*SUPUESTOS!B17+SUPUESTOS!B19+2*SUPUESTOS!B17*SUPUESTOS!B15)*SUPUESTOS!B10+(2*SUPUESTOS!B17+SUPUESTOS!B19+2*SUPUESTOS!B17*SUPUESTOS!B15)*(1+SUPUESTOS!B10)*SUPUESTOS!B11+(2*SUPUESTOS!B17+SUPUESTOS!B19+2*SUPUESTOS!B17*SUPUESTOS!B15)*(1+SUPUESTOS!B10)*SUPUESTOS!B12+(2*SUPUESTOS!B17+SUPUESTOS!B19+2*SUPUESTOS!B17*SUPUESTOS!B15)*SUPUESTOS!B13+SUPUESTOS!B14-(2*SUPUESTOS!B17+SUPUESTOS!B19+2*SUPUESTOS!B17*SUPUESTOS!B15)*(1+SUPUESTOS!B10)*(SUPUESTOS!B11+SUPUESTOS!B12)+SUPUESTOS!$B$40+2*SUPUESTOS!$B$42)))^12-1,"—")</f>
        <v>2.80899346781389E+024</v>
      </c>
      <c r="E16" s="52" t="n">
        <f aca="false">IF(ISNUMBER(C16),C16*SUPUESTOS!$B$4,"—")</f>
        <v>-11554694.2678798</v>
      </c>
      <c r="F16" s="76" t="n">
        <f aca="false">(-(3*SUPUESTOS!B17+SUPUESTOS!B19+3*SUPUESTOS!B17*SUPUESTOS!B15+(3*SUPUESTOS!B17+SUPUESTOS!B19+3*SUPUESTOS!B17*SUPUESTOS!B15)*SUPUESTOS!B10+(3*SUPUESTOS!B17+SUPUESTOS!B19+3*SUPUESTOS!B17*SUPUESTOS!B15)*(1+SUPUESTOS!B10)*SUPUESTOS!B11+(3*SUPUESTOS!B17+SUPUESTOS!B19+3*SUPUESTOS!B17*SUPUESTOS!B15)*(1+SUPUESTOS!B10)*SUPUESTOS!B12+(3*SUPUESTOS!B17+SUPUESTOS!B19+3*SUPUESTOS!B17*SUPUESTOS!B15)*SUPUESTOS!B13+SUPUESTOS!B14-(3*SUPUESTOS!B17+SUPUESTOS!B19+3*SUPUESTOS!B17*SUPUESTOS!B15)*(1+SUPUESTOS!B10)*(SUPUESTOS!B11+SUPUESTOS!B12)+SUPUESTOS!$B$40+3*SUPUESTOS!$B$42))+(3*(SUPUESTOS!B22*(1-SUPUESTOS!B25-SUPUESTOS!B26-SUPUESTOS!B27)-SUPUESTOS!B28-SUPUESTOS!B29)-SUPUESTOS!B35)*((1-(1+SUPUESTOS!B7)^(-36))/SUPUESTOS!B7)</f>
        <v>-8829.36556143323</v>
      </c>
      <c r="G16" s="77" t="n">
        <f aca="false">IFERROR((1+(3*(SUPUESTOS!B22*(1-SUPUESTOS!B25-SUPUESTOS!B26-SUPUESTOS!B27)-SUPUESTOS!B28-SUPUESTOS!B29)-SUPUESTOS!B35/(3*SUPUESTOS!B17+SUPUESTOS!B19+3*SUPUESTOS!B17*SUPUESTOS!B15+(3*SUPUESTOS!B17+SUPUESTOS!B19+3*SUPUESTOS!B17*SUPUESTOS!B15)*SUPUESTOS!B10+(3*SUPUESTOS!B17+SUPUESTOS!B19+3*SUPUESTOS!B17*SUPUESTOS!B15)*(1+SUPUESTOS!B10)*SUPUESTOS!B11+(3*SUPUESTOS!B17+SUPUESTOS!B19+3*SUPUESTOS!B17*SUPUESTOS!B15)*(1+SUPUESTOS!B10)*SUPUESTOS!B12+(3*SUPUESTOS!B17+SUPUESTOS!B19+3*SUPUESTOS!B17*SUPUESTOS!B15)*SUPUESTOS!B13+SUPUESTOS!B14-(3*SUPUESTOS!B17+SUPUESTOS!B19+3*SUPUESTOS!B17*SUPUESTOS!B15)*(1+SUPUESTOS!B10)*(SUPUESTOS!B11+SUPUESTOS!B12)+SUPUESTOS!$B$40+3*SUPUESTOS!$B$42)))^12-1,"—")</f>
        <v>3.51527398460028E+026</v>
      </c>
      <c r="H16" s="52" t="n">
        <f aca="false">IF(ISNUMBER(F16),F16*SUPUESTOS!$B$4,"—")</f>
        <v>-13244048.3421498</v>
      </c>
      <c r="I16" s="76" t="n">
        <f aca="false">(-(4*SUPUESTOS!B17+SUPUESTOS!B19+4*SUPUESTOS!B17*SUPUESTOS!B15+(4*SUPUESTOS!B17+SUPUESTOS!B19+4*SUPUESTOS!B17*SUPUESTOS!B15)*SUPUESTOS!B10+(4*SUPUESTOS!B17+SUPUESTOS!B19+4*SUPUESTOS!B17*SUPUESTOS!B15)*(1+SUPUESTOS!B10)*SUPUESTOS!B11+(4*SUPUESTOS!B17+SUPUESTOS!B19+4*SUPUESTOS!B17*SUPUESTOS!B15)*(1+SUPUESTOS!B10)*SUPUESTOS!B12+(4*SUPUESTOS!B17+SUPUESTOS!B19+4*SUPUESTOS!B17*SUPUESTOS!B15)*SUPUESTOS!B13+SUPUESTOS!B14-(4*SUPUESTOS!B17+SUPUESTOS!B19+4*SUPUESTOS!B17*SUPUESTOS!B15)*(1+SUPUESTOS!B10)*(SUPUESTOS!B11+SUPUESTOS!B12)+SUPUESTOS!$B$40+4*SUPUESTOS!$B$42))+(4*(SUPUESTOS!B22*(1-SUPUESTOS!B25-SUPUESTOS!B26-SUPUESTOS!B27)-SUPUESTOS!B28-SUPUESTOS!B29)-SUPUESTOS!B35)*((1-(1+SUPUESTOS!B7)^(-36))/SUPUESTOS!B7)</f>
        <v>-9955.60161094658</v>
      </c>
      <c r="J16" s="77" t="n">
        <f aca="false">IFERROR((1+(4*(SUPUESTOS!B22*(1-SUPUESTOS!B25-SUPUESTOS!B26-SUPUESTOS!B27)-SUPUESTOS!B28-SUPUESTOS!B29)-SUPUESTOS!B35/(4*SUPUESTOS!B17+SUPUESTOS!B19+4*SUPUESTOS!B17*SUPUESTOS!B15+(4*SUPUESTOS!B17+SUPUESTOS!B19+4*SUPUESTOS!B17*SUPUESTOS!B15)*SUPUESTOS!B10+(4*SUPUESTOS!B17+SUPUESTOS!B19+4*SUPUESTOS!B17*SUPUESTOS!B15)*(1+SUPUESTOS!B10)*SUPUESTOS!B11+(4*SUPUESTOS!B17+SUPUESTOS!B19+4*SUPUESTOS!B17*SUPUESTOS!B15)*(1+SUPUESTOS!B10)*SUPUESTOS!B12+(4*SUPUESTOS!B17+SUPUESTOS!B19+4*SUPUESTOS!B17*SUPUESTOS!B15)*SUPUESTOS!B13+SUPUESTOS!B14-(4*SUPUESTOS!B17+SUPUESTOS!B19+4*SUPUESTOS!B17*SUPUESTOS!B15)*(1+SUPUESTOS!B10)*(SUPUESTOS!B11+SUPUESTOS!B12)+SUPUESTOS!$B$40+4*SUPUESTOS!$B$42)))^12-1,"—")</f>
        <v>1.08977901566419E+028</v>
      </c>
      <c r="K16" s="52" t="n">
        <f aca="false">IF(ISNUMBER(I16),I16*SUPUESTOS!$B$4,"—")</f>
        <v>-14933402.4164199</v>
      </c>
    </row>
    <row r="17" customFormat="false" ht="21.75" hidden="false" customHeight="true" outlineLevel="0" collapsed="false">
      <c r="A17" s="36" t="s">
        <v>228</v>
      </c>
      <c r="C17" s="78" t="n">
        <f aca="false">(-(2*SUPUESTOS!B17+SUPUESTOS!B19+2*SUPUESTOS!B17*SUPUESTOS!B15+(2*SUPUESTOS!B17+SUPUESTOS!B19+2*SUPUESTOS!B17*SUPUESTOS!B15)*SUPUESTOS!B10+(2*SUPUESTOS!B17+SUPUESTOS!B19+2*SUPUESTOS!B17*SUPUESTOS!B15)*(1+SUPUESTOS!B10)*SUPUESTOS!B11+(2*SUPUESTOS!B17+SUPUESTOS!B19+2*SUPUESTOS!B17*SUPUESTOS!B15)*(1+SUPUESTOS!B10)*SUPUESTOS!B12+(2*SUPUESTOS!B17+SUPUESTOS!B19+2*SUPUESTOS!B17*SUPUESTOS!B15)*SUPUESTOS!B13+SUPUESTOS!B14-(2*SUPUESTOS!B17+SUPUESTOS!B19+2*SUPUESTOS!B17*SUPUESTOS!B15)*(1+SUPUESTOS!B10)*(SUPUESTOS!B11+SUPUESTOS!B12)+SUPUESTOS!$B$40+2*SUPUESTOS!$B$42))+(2*(SUPUESTOS!B23*(1-SUPUESTOS!B25-SUPUESTOS!B26-SUPUESTOS!B27)-SUPUESTOS!B28-SUPUESTOS!B29)-SUPUESTOS!B35)*((1-(1+SUPUESTOS!B7)^(-36))/SUPUESTOS!B7)</f>
        <v>-2359.15172097624</v>
      </c>
      <c r="D17" s="79" t="n">
        <f aca="false">IFERROR((1+(2*(SUPUESTOS!B23*(1-SUPUESTOS!B25-SUPUESTOS!B26-SUPUESTOS!B27)-SUPUESTOS!B28-SUPUESTOS!B29)-SUPUESTOS!B35/(2*SUPUESTOS!B17+SUPUESTOS!B19+2*SUPUESTOS!B17*SUPUESTOS!B15+(2*SUPUESTOS!B17+SUPUESTOS!B19+2*SUPUESTOS!B17*SUPUESTOS!B15)*SUPUESTOS!B10+(2*SUPUESTOS!B17+SUPUESTOS!B19+2*SUPUESTOS!B17*SUPUESTOS!B15)*(1+SUPUESTOS!B10)*SUPUESTOS!B11+(2*SUPUESTOS!B17+SUPUESTOS!B19+2*SUPUESTOS!B17*SUPUESTOS!B15)*(1+SUPUESTOS!B10)*SUPUESTOS!B12+(2*SUPUESTOS!B17+SUPUESTOS!B19+2*SUPUESTOS!B17*SUPUESTOS!B15)*SUPUESTOS!B13+SUPUESTOS!B14-(2*SUPUESTOS!B17+SUPUESTOS!B19+2*SUPUESTOS!B17*SUPUESTOS!B15)*(1+SUPUESTOS!B10)*(SUPUESTOS!B11+SUPUESTOS!B12)+SUPUESTOS!$B$40+2*SUPUESTOS!$B$42)))^12-1,"—")</f>
        <v>2.14474342912694E+030</v>
      </c>
      <c r="E17" s="52" t="n">
        <f aca="false">IF(ISNUMBER(C17),C17*SUPUESTOS!$B$4,"—")</f>
        <v>-3538727.58146436</v>
      </c>
      <c r="F17" s="78" t="n">
        <f aca="false">(-(3*SUPUESTOS!B17+SUPUESTOS!B19+3*SUPUESTOS!B17*SUPUESTOS!B15+(3*SUPUESTOS!B17+SUPUESTOS!B19+3*SUPUESTOS!B17*SUPUESTOS!B15)*SUPUESTOS!B10+(3*SUPUESTOS!B17+SUPUESTOS!B19+3*SUPUESTOS!B17*SUPUESTOS!B15)*(1+SUPUESTOS!B10)*SUPUESTOS!B11+(3*SUPUESTOS!B17+SUPUESTOS!B19+3*SUPUESTOS!B17*SUPUESTOS!B15)*(1+SUPUESTOS!B10)*SUPUESTOS!B12+(3*SUPUESTOS!B17+SUPUESTOS!B19+3*SUPUESTOS!B17*SUPUESTOS!B15)*SUPUESTOS!B13+SUPUESTOS!B14-(3*SUPUESTOS!B17+SUPUESTOS!B19+3*SUPUESTOS!B17*SUPUESTOS!B15)*(1+SUPUESTOS!B10)*(SUPUESTOS!B11+SUPUESTOS!B12)+SUPUESTOS!$B$40+3*SUPUESTOS!$B$42))+(3*(SUPUESTOS!B23*(1-SUPUESTOS!B25-SUPUESTOS!B26-SUPUESTOS!B27)-SUPUESTOS!B28-SUPUESTOS!B29)-SUPUESTOS!B35)*((1-(1+SUPUESTOS!B7)^(-36))/SUPUESTOS!B7)</f>
        <v>-813.398875017767</v>
      </c>
      <c r="G17" s="79" t="n">
        <f aca="false">IFERROR((1+(3*(SUPUESTOS!B23*(1-SUPUESTOS!B25-SUPUESTOS!B26-SUPUESTOS!B27)-SUPUESTOS!B28-SUPUESTOS!B29)-SUPUESTOS!B35/(3*SUPUESTOS!B17+SUPUESTOS!B19+3*SUPUESTOS!B17*SUPUESTOS!B15+(3*SUPUESTOS!B17+SUPUESTOS!B19+3*SUPUESTOS!B17*SUPUESTOS!B15)*SUPUESTOS!B10+(3*SUPUESTOS!B17+SUPUESTOS!B19+3*SUPUESTOS!B17*SUPUESTOS!B15)*(1+SUPUESTOS!B10)*SUPUESTOS!B11+(3*SUPUESTOS!B17+SUPUESTOS!B19+3*SUPUESTOS!B17*SUPUESTOS!B15)*(1+SUPUESTOS!B10)*SUPUESTOS!B12+(3*SUPUESTOS!B17+SUPUESTOS!B19+3*SUPUESTOS!B17*SUPUESTOS!B15)*SUPUESTOS!B13+SUPUESTOS!B14-(3*SUPUESTOS!B17+SUPUESTOS!B19+3*SUPUESTOS!B17*SUPUESTOS!B15)*(1+SUPUESTOS!B10)*(SUPUESTOS!B11+SUPUESTOS!B12)+SUPUESTOS!$B$40+3*SUPUESTOS!$B$42)))^12-1,"—")</f>
        <v>2.75044057528739E+032</v>
      </c>
      <c r="H17" s="52" t="n">
        <f aca="false">IF(ISNUMBER(F17),F17*SUPUESTOS!$B$4,"—")</f>
        <v>-1220098.31252665</v>
      </c>
      <c r="I17" s="78" t="n">
        <f aca="false">(-(4*SUPUESTOS!B17+SUPUESTOS!B19+4*SUPUESTOS!B17*SUPUESTOS!B15+(4*SUPUESTOS!B17+SUPUESTOS!B19+4*SUPUESTOS!B17*SUPUESTOS!B15)*SUPUESTOS!B10+(4*SUPUESTOS!B17+SUPUESTOS!B19+4*SUPUESTOS!B17*SUPUESTOS!B15)*(1+SUPUESTOS!B10)*SUPUESTOS!B11+(4*SUPUESTOS!B17+SUPUESTOS!B19+4*SUPUESTOS!B17*SUPUESTOS!B15)*(1+SUPUESTOS!B10)*SUPUESTOS!B12+(4*SUPUESTOS!B17+SUPUESTOS!B19+4*SUPUESTOS!B17*SUPUESTOS!B15)*SUPUESTOS!B13+SUPUESTOS!B14-(4*SUPUESTOS!B17+SUPUESTOS!B19+4*SUPUESTOS!B17*SUPUESTOS!B15)*(1+SUPUESTOS!B10)*(SUPUESTOS!B11+SUPUESTOS!B12)+SUPUESTOS!$B$40+4*SUPUESTOS!$B$42))+(4*(SUPUESTOS!B23*(1-SUPUESTOS!B25-SUPUESTOS!B26-SUPUESTOS!B27)-SUPUESTOS!B28-SUPUESTOS!B29)-SUPUESTOS!B35)*((1-(1+SUPUESTOS!B7)^(-36))/SUPUESTOS!B7)</f>
        <v>732.353970940707</v>
      </c>
      <c r="J17" s="79" t="n">
        <f aca="false">IFERROR((1+(4*(SUPUESTOS!B23*(1-SUPUESTOS!B25-SUPUESTOS!B26-SUPUESTOS!B27)-SUPUESTOS!B28-SUPUESTOS!B29)-SUPUESTOS!B35/(4*SUPUESTOS!B17+SUPUESTOS!B19+4*SUPUESTOS!B17*SUPUESTOS!B15+(4*SUPUESTOS!B17+SUPUESTOS!B19+4*SUPUESTOS!B17*SUPUESTOS!B15)*SUPUESTOS!B10+(4*SUPUESTOS!B17+SUPUESTOS!B19+4*SUPUESTOS!B17*SUPUESTOS!B15)*(1+SUPUESTOS!B10)*SUPUESTOS!B11+(4*SUPUESTOS!B17+SUPUESTOS!B19+4*SUPUESTOS!B17*SUPUESTOS!B15)*(1+SUPUESTOS!B10)*SUPUESTOS!B12+(4*SUPUESTOS!B17+SUPUESTOS!B19+4*SUPUESTOS!B17*SUPUESTOS!B15)*SUPUESTOS!B13+SUPUESTOS!B14-(4*SUPUESTOS!B17+SUPUESTOS!B19+4*SUPUESTOS!B17*SUPUESTOS!B15)*(1+SUPUESTOS!B10)*(SUPUESTOS!B11+SUPUESTOS!B12)+SUPUESTOS!$B$40+4*SUPUESTOS!$B$42)))^12-1,"—")</f>
        <v>8.63223509927983E+033</v>
      </c>
      <c r="K17" s="52" t="n">
        <f aca="false">IF(ISNUMBER(I17),I17*SUPUESTOS!$B$4,"—")</f>
        <v>1098530.95641106</v>
      </c>
    </row>
    <row r="18" customFormat="false" ht="21.75" hidden="false" customHeight="true" outlineLevel="0" collapsed="false">
      <c r="A18" s="40" t="s">
        <v>229</v>
      </c>
      <c r="C18" s="69" t="n">
        <f aca="false">(-(2*SUPUESTOS!B17+SUPUESTOS!B19+2*SUPUESTOS!B17*SUPUESTOS!B15+(2*SUPUESTOS!B17+SUPUESTOS!B19+2*SUPUESTOS!B17*SUPUESTOS!B15)*SUPUESTOS!B10+(2*SUPUESTOS!B17+SUPUESTOS!B19+2*SUPUESTOS!B17*SUPUESTOS!B15)*(1+SUPUESTOS!B10)*SUPUESTOS!B11+(2*SUPUESTOS!B17+SUPUESTOS!B19+2*SUPUESTOS!B17*SUPUESTOS!B15)*(1+SUPUESTOS!B10)*SUPUESTOS!B12+(2*SUPUESTOS!B17+SUPUESTOS!B19+2*SUPUESTOS!B17*SUPUESTOS!B15)*SUPUESTOS!B13+SUPUESTOS!B14-(2*SUPUESTOS!B17+SUPUESTOS!B19+2*SUPUESTOS!B17*SUPUESTOS!B15)*(1+SUPUESTOS!B10)*(SUPUESTOS!B11+SUPUESTOS!B12)+SUPUESTOS!$B$40+2*SUPUESTOS!$B$42))+(2*(SUPUESTOS!B24*(1-SUPUESTOS!B25-SUPUESTOS!B26-SUPUESTOS!B27)-SUPUESTOS!B28-SUPUESTOS!B29)-SUPUESTOS!B35)*((1-(1+SUPUESTOS!B7)^(-36))/SUPUESTOS!B7)</f>
        <v>8328.80386091104</v>
      </c>
      <c r="D18" s="67" t="n">
        <f aca="false">IFERROR((1+(2*(SUPUESTOS!B24*(1-SUPUESTOS!B25-SUPUESTOS!B26-SUPUESTOS!B27)-SUPUESTOS!B28-SUPUESTOS!B29)-SUPUESTOS!B35/(2*SUPUESTOS!B17+SUPUESTOS!B19+2*SUPUESTOS!B17*SUPUESTOS!B15+(2*SUPUESTOS!B17+SUPUESTOS!B19+2*SUPUESTOS!B17*SUPUESTOS!B15)*SUPUESTOS!B10+(2*SUPUESTOS!B17+SUPUESTOS!B19+2*SUPUESTOS!B17*SUPUESTOS!B15)*(1+SUPUESTOS!B10)*SUPUESTOS!B11+(2*SUPUESTOS!B17+SUPUESTOS!B19+2*SUPUESTOS!B17*SUPUESTOS!B15)*(1+SUPUESTOS!B10)*SUPUESTOS!B12+(2*SUPUESTOS!B17+SUPUESTOS!B19+2*SUPUESTOS!B17*SUPUESTOS!B15)*SUPUESTOS!B13+SUPUESTOS!B14-(2*SUPUESTOS!B17+SUPUESTOS!B19+2*SUPUESTOS!B17*SUPUESTOS!B15)*(1+SUPUESTOS!B10)*(SUPUESTOS!B11+SUPUESTOS!B12)+SUPUESTOS!$B$40+2*SUPUESTOS!$B$42)))^12-1,"—")</f>
        <v>6.18301474187443E+034</v>
      </c>
      <c r="E18" s="52" t="n">
        <f aca="false">IF(ISNUMBER(C18),C18*SUPUESTOS!$B$4,"—")</f>
        <v>12493205.7913666</v>
      </c>
      <c r="F18" s="69" t="n">
        <f aca="false">(-(3*SUPUESTOS!B17+SUPUESTOS!B19+3*SUPUESTOS!B17*SUPUESTOS!B15+(3*SUPUESTOS!B17+SUPUESTOS!B19+3*SUPUESTOS!B17*SUPUESTOS!B15)*SUPUESTOS!B10+(3*SUPUESTOS!B17+SUPUESTOS!B19+3*SUPUESTOS!B17*SUPUESTOS!B15)*(1+SUPUESTOS!B10)*SUPUESTOS!B11+(3*SUPUESTOS!B17+SUPUESTOS!B19+3*SUPUESTOS!B17*SUPUESTOS!B15)*(1+SUPUESTOS!B10)*SUPUESTOS!B12+(3*SUPUESTOS!B17+SUPUESTOS!B19+3*SUPUESTOS!B17*SUPUESTOS!B15)*SUPUESTOS!B13+SUPUESTOS!B14-(3*SUPUESTOS!B17+SUPUESTOS!B19+3*SUPUESTOS!B17*SUPUESTOS!B15)*(1+SUPUESTOS!B10)*(SUPUESTOS!B11+SUPUESTOS!B12)+SUPUESTOS!$B$40+3*SUPUESTOS!$B$42))+(3*(SUPUESTOS!B24*(1-SUPUESTOS!B25-SUPUESTOS!B26-SUPUESTOS!B27)-SUPUESTOS!B28-SUPUESTOS!B29)-SUPUESTOS!B35)*((1-(1+SUPUESTOS!B7)^(-36))/SUPUESTOS!B7)</f>
        <v>15218.5344978132</v>
      </c>
      <c r="G18" s="67" t="n">
        <f aca="false">IFERROR((1+(3*(SUPUESTOS!B24*(1-SUPUESTOS!B25-SUPUESTOS!B26-SUPUESTOS!B27)-SUPUESTOS!B28-SUPUESTOS!B29)-SUPUESTOS!B35/(3*SUPUESTOS!B17+SUPUESTOS!B19+3*SUPUESTOS!B17*SUPUESTOS!B15+(3*SUPUESTOS!B17+SUPUESTOS!B19+3*SUPUESTOS!B17*SUPUESTOS!B15)*SUPUESTOS!B10+(3*SUPUESTOS!B17+SUPUESTOS!B19+3*SUPUESTOS!B17*SUPUESTOS!B15)*(1+SUPUESTOS!B10)*SUPUESTOS!B11+(3*SUPUESTOS!B17+SUPUESTOS!B19+3*SUPUESTOS!B17*SUPUESTOS!B15)*(1+SUPUESTOS!B10)*SUPUESTOS!B12+(3*SUPUESTOS!B17+SUPUESTOS!B19+3*SUPUESTOS!B17*SUPUESTOS!B15)*SUPUESTOS!B13+SUPUESTOS!B14-(3*SUPUESTOS!B17+SUPUESTOS!B19+3*SUPUESTOS!B17*SUPUESTOS!B15)*(1+SUPUESTOS!B10)*(SUPUESTOS!B11+SUPUESTOS!B12)+SUPUESTOS!$B$40+3*SUPUESTOS!$B$42)))^12-1,"—")</f>
        <v>7.9825604520371E+036</v>
      </c>
      <c r="H18" s="52" t="n">
        <f aca="false">IF(ISNUMBER(F18),F18*SUPUESTOS!$B$4,"—")</f>
        <v>22827801.7467197</v>
      </c>
      <c r="I18" s="69" t="n">
        <f aca="false">(-(4*SUPUESTOS!B17+SUPUESTOS!B19+4*SUPUESTOS!B17*SUPUESTOS!B15+(4*SUPUESTOS!B17+SUPUESTOS!B19+4*SUPUESTOS!B17*SUPUESTOS!B15)*SUPUESTOS!B10+(4*SUPUESTOS!B17+SUPUESTOS!B19+4*SUPUESTOS!B17*SUPUESTOS!B15)*(1+SUPUESTOS!B10)*SUPUESTOS!B11+(4*SUPUESTOS!B17+SUPUESTOS!B19+4*SUPUESTOS!B17*SUPUESTOS!B15)*(1+SUPUESTOS!B10)*SUPUESTOS!B12+(4*SUPUESTOS!B17+SUPUESTOS!B19+4*SUPUESTOS!B17*SUPUESTOS!B15)*SUPUESTOS!B13+SUPUESTOS!B14-(4*SUPUESTOS!B17+SUPUESTOS!B19+4*SUPUESTOS!B17*SUPUESTOS!B15)*(1+SUPUESTOS!B10)*(SUPUESTOS!B11+SUPUESTOS!B12)+SUPUESTOS!$B$40+4*SUPUESTOS!$B$42))+(4*(SUPUESTOS!B24*(1-SUPUESTOS!B25-SUPUESTOS!B26-SUPUESTOS!B27)-SUPUESTOS!B28-SUPUESTOS!B29)-SUPUESTOS!B35)*((1-(1+SUPUESTOS!B7)^(-36))/SUPUESTOS!B7)</f>
        <v>22108.2651347153</v>
      </c>
      <c r="J18" s="67" t="n">
        <f aca="false">IFERROR((1+(4*(SUPUESTOS!B24*(1-SUPUESTOS!B25-SUPUESTOS!B26-SUPUESTOS!B27)-SUPUESTOS!B28-SUPUESTOS!B29)-SUPUESTOS!B35/(4*SUPUESTOS!B17+SUPUESTOS!B19+4*SUPUESTOS!B17*SUPUESTOS!B15+(4*SUPUESTOS!B17+SUPUESTOS!B19+4*SUPUESTOS!B17*SUPUESTOS!B15)*SUPUESTOS!B10+(4*SUPUESTOS!B17+SUPUESTOS!B19+4*SUPUESTOS!B17*SUPUESTOS!B15)*(1+SUPUESTOS!B10)*SUPUESTOS!B11+(4*SUPUESTOS!B17+SUPUESTOS!B19+4*SUPUESTOS!B17*SUPUESTOS!B15)*(1+SUPUESTOS!B10)*SUPUESTOS!B12+(4*SUPUESTOS!B17+SUPUESTOS!B19+4*SUPUESTOS!B17*SUPUESTOS!B15)*SUPUESTOS!B13+SUPUESTOS!B14-(4*SUPUESTOS!B17+SUPUESTOS!B19+4*SUPUESTOS!B17*SUPUESTOS!B15)*(1+SUPUESTOS!B10)*(SUPUESTOS!B11+SUPUESTOS!B12)+SUPUESTOS!$B$40+4*SUPUESTOS!$B$42)))^12-1,"—")</f>
        <v>2.51377717941253E+038</v>
      </c>
      <c r="K18" s="52" t="n">
        <f aca="false">IF(ISNUMBER(I18),I18*SUPUESTOS!$B$4,"—")</f>
        <v>33162397.7020729</v>
      </c>
    </row>
    <row r="19" customFormat="false" ht="15" hidden="false" customHeight="false" outlineLevel="0" collapsed="false"/>
    <row r="20" customFormat="false" ht="15" hidden="false" customHeight="true" outlineLevel="0" collapsed="false">
      <c r="A20" s="44" t="s">
        <v>230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</sheetData>
  <mergeCells count="7">
    <mergeCell ref="A1:L1"/>
    <mergeCell ref="A3:L3"/>
    <mergeCell ref="A13:L13"/>
    <mergeCell ref="C14:E14"/>
    <mergeCell ref="F14:H14"/>
    <mergeCell ref="I14:K14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"/>
    <col collapsed="false" customWidth="true" hidden="false" outlineLevel="0" max="10" min="3" style="1" width="18"/>
  </cols>
  <sheetData>
    <row r="1" customFormat="false" ht="25.5" hidden="false" customHeight="true" outlineLevel="0" collapsed="false">
      <c r="A1" s="10" t="s">
        <v>231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/>
    <row r="3" customFormat="false" ht="19.5" hidden="false" customHeight="true" outlineLevel="0" collapsed="false">
      <c r="A3" s="7" t="s">
        <v>232</v>
      </c>
      <c r="B3" s="7"/>
      <c r="C3" s="7"/>
      <c r="D3" s="7"/>
      <c r="E3" s="7"/>
      <c r="F3" s="7"/>
      <c r="G3" s="7"/>
      <c r="H3" s="7"/>
      <c r="I3" s="7"/>
    </row>
    <row r="4" customFormat="false" ht="18" hidden="false" customHeight="true" outlineLevel="0" collapsed="false">
      <c r="A4" s="73" t="s">
        <v>118</v>
      </c>
      <c r="C4" s="73" t="s">
        <v>233</v>
      </c>
      <c r="E4" s="73" t="s">
        <v>234</v>
      </c>
      <c r="G4" s="73" t="s">
        <v>235</v>
      </c>
    </row>
    <row r="5" customFormat="false" ht="19.5" hidden="false" customHeight="true" outlineLevel="0" collapsed="false">
      <c r="A5" s="80" t="s">
        <v>236</v>
      </c>
      <c r="C5" s="81" t="n">
        <f aca="false">SUPUESTOS!B35</f>
        <v>95</v>
      </c>
      <c r="E5" s="69" t="n">
        <f aca="false">SUPUESTOS!B35</f>
        <v>95</v>
      </c>
      <c r="G5" s="52" t="n">
        <f aca="false">IF(ISNUMBER(E5),E5*SUPUESTOS!$B$4,"—")</f>
        <v>142500</v>
      </c>
    </row>
    <row r="6" customFormat="false" ht="19.5" hidden="false" customHeight="true" outlineLevel="0" collapsed="false">
      <c r="A6" s="80" t="s">
        <v>237</v>
      </c>
      <c r="C6" s="82" t="s">
        <v>238</v>
      </c>
      <c r="E6" s="69" t="n">
        <f aca="false">SUPUESTOS!B23*(1-SUPUESTOS!B25-SUPUESTOS!B26-SUPUESTOS!B27)-SUPUESTOS!B28-SUPUESTOS!B29</f>
        <v>168</v>
      </c>
      <c r="G6" s="52" t="n">
        <f aca="false">IF(ISNUMBER(E6),E6*SUPUESTOS!$B$4,"—")</f>
        <v>252000</v>
      </c>
    </row>
    <row r="7" customFormat="false" ht="19.5" hidden="false" customHeight="true" outlineLevel="0" collapsed="false">
      <c r="A7" s="80" t="s">
        <v>239</v>
      </c>
      <c r="C7" s="82" t="s">
        <v>240</v>
      </c>
      <c r="E7" s="69" t="n">
        <f aca="false">IFERROR(SUPUESTOS!B35/(SUPUESTOS!B23*(1-SUPUESTOS!B25-SUPUESTOS!B26-SUPUESTOS!B27)-SUPUESTOS!B28-SUPUESTOS!B29),"—")</f>
        <v>0.565476190476191</v>
      </c>
      <c r="G7" s="83" t="n">
        <f aca="false">IF(ISNUMBER(E7),E7,"—")</f>
        <v>0.565476190476191</v>
      </c>
    </row>
    <row r="8" customFormat="false" ht="19.5" hidden="false" customHeight="true" outlineLevel="0" collapsed="false">
      <c r="A8" s="80" t="s">
        <v>241</v>
      </c>
      <c r="C8" s="82" t="s">
        <v>242</v>
      </c>
      <c r="E8" s="69" t="n">
        <f aca="false">IFERROR((SUPUESTOS!B35/(SUPUESTOS!B23*(1-SUPUESTOS!B25-SUPUESTOS!B26-SUPUESTOS!B27)-SUPUESTOS!B28-SUPUESTOS!B29))*SUPUESTOS!B23,"—")</f>
        <v>339.285714285714</v>
      </c>
      <c r="G8" s="52" t="n">
        <f aca="false">IF(ISNUMBER(E8),E8*SUPUESTOS!$B$4,"—")</f>
        <v>508928.571428571</v>
      </c>
    </row>
    <row r="9" customFormat="false" ht="15" hidden="false" customHeight="false" outlineLevel="0" collapsed="false"/>
    <row r="10" customFormat="false" ht="19.5" hidden="false" customHeight="true" outlineLevel="0" collapsed="false">
      <c r="A10" s="7" t="s">
        <v>243</v>
      </c>
      <c r="B10" s="7"/>
      <c r="C10" s="7"/>
      <c r="D10" s="7"/>
      <c r="E10" s="7"/>
      <c r="F10" s="7"/>
      <c r="G10" s="7"/>
      <c r="H10" s="7"/>
      <c r="I10" s="7"/>
    </row>
    <row r="11" customFormat="false" ht="21.75" hidden="false" customHeight="true" outlineLevel="0" collapsed="false">
      <c r="A11" s="73" t="s">
        <v>244</v>
      </c>
      <c r="C11" s="73" t="s">
        <v>245</v>
      </c>
      <c r="E11" s="73" t="s">
        <v>246</v>
      </c>
      <c r="G11" s="73" t="s">
        <v>247</v>
      </c>
      <c r="I11" s="73" t="s">
        <v>248</v>
      </c>
    </row>
    <row r="12" customFormat="false" ht="18" hidden="false" customHeight="true" outlineLevel="0" collapsed="false">
      <c r="A12" s="75" t="s">
        <v>249</v>
      </c>
      <c r="C12" s="84" t="n">
        <f aca="false">1*(SUPUESTOS!B23*(1-SUPUESTOS!B25-SUPUESTOS!B26-SUPUESTOS!B27)-SUPUESTOS!B28-SUPUESTOS!B29)-SUPUESTOS!B35</f>
        <v>73</v>
      </c>
      <c r="E12" s="84" t="n">
        <f aca="false">(SUPUESTOS!B35/1+(SUPUESTOS!B28+SUPUESTOS!B29))/(1-SUPUESTOS!B25-SUPUESTOS!B26-SUPUESTOS!B27)</f>
        <v>407.894736842105</v>
      </c>
      <c r="G12" s="52" t="n">
        <f aca="false">E12*SUPUESTOS!$B$4</f>
        <v>611842.105263158</v>
      </c>
      <c r="I12" s="85" t="str">
        <f aca="false">IF(1*(SUPUESTOS!B23*(1-SUPUESTOS!B25-SUPUESTOS!B26-SUPUESTOS!B27)-SUPUESTOS!B28-SUPUESTOS!B29)-SUPUESTOS!B35&gt;=0,"✓ SÍ","✗ NO")</f>
        <v>✓ SÍ</v>
      </c>
    </row>
    <row r="13" customFormat="false" ht="18" hidden="false" customHeight="true" outlineLevel="0" collapsed="false">
      <c r="A13" s="40" t="s">
        <v>250</v>
      </c>
      <c r="C13" s="86" t="n">
        <f aca="false">2*(SUPUESTOS!B23*(1-SUPUESTOS!B25-SUPUESTOS!B26-SUPUESTOS!B27)-SUPUESTOS!B28-SUPUESTOS!B29)-SUPUESTOS!B35</f>
        <v>241</v>
      </c>
      <c r="E13" s="86" t="n">
        <f aca="false">(SUPUESTOS!B35/2+(SUPUESTOS!B28+SUPUESTOS!B29))/(1-SUPUESTOS!B25-SUPUESTOS!B26-SUPUESTOS!B27)</f>
        <v>282.894736842105</v>
      </c>
      <c r="G13" s="52" t="n">
        <f aca="false">E13*SUPUESTOS!$B$4</f>
        <v>424342.105263158</v>
      </c>
      <c r="I13" s="87" t="str">
        <f aca="false">IF(2*(SUPUESTOS!B23*(1-SUPUESTOS!B25-SUPUESTOS!B26-SUPUESTOS!B27)-SUPUESTOS!B28-SUPUESTOS!B29)-SUPUESTOS!B35&gt;=0,"✓ SÍ","✗ NO")</f>
        <v>✓ SÍ</v>
      </c>
    </row>
    <row r="14" customFormat="false" ht="18" hidden="false" customHeight="true" outlineLevel="0" collapsed="false">
      <c r="A14" s="40" t="s">
        <v>251</v>
      </c>
      <c r="C14" s="86" t="n">
        <f aca="false">3*(SUPUESTOS!B23*(1-SUPUESTOS!B25-SUPUESTOS!B26-SUPUESTOS!B27)-SUPUESTOS!B28-SUPUESTOS!B29)-SUPUESTOS!B35</f>
        <v>409</v>
      </c>
      <c r="E14" s="86" t="n">
        <f aca="false">(SUPUESTOS!B35/3+(SUPUESTOS!B28+SUPUESTOS!B29))/(1-SUPUESTOS!B25-SUPUESTOS!B26-SUPUESTOS!B27)</f>
        <v>241.228070175439</v>
      </c>
      <c r="G14" s="52" t="n">
        <f aca="false">E14*SUPUESTOS!$B$4</f>
        <v>361842.105263158</v>
      </c>
      <c r="I14" s="87" t="str">
        <f aca="false">IF(3*(SUPUESTOS!B23*(1-SUPUESTOS!B25-SUPUESTOS!B26-SUPUESTOS!B27)-SUPUESTOS!B28-SUPUESTOS!B29)-SUPUESTOS!B35&gt;=0,"✓ SÍ","✗ NO")</f>
        <v>✓ SÍ</v>
      </c>
    </row>
    <row r="15" customFormat="false" ht="18" hidden="false" customHeight="true" outlineLevel="0" collapsed="false">
      <c r="A15" s="40" t="s">
        <v>252</v>
      </c>
      <c r="C15" s="86" t="n">
        <f aca="false">4*(SUPUESTOS!B23*(1-SUPUESTOS!B25-SUPUESTOS!B26-SUPUESTOS!B27)-SUPUESTOS!B28-SUPUESTOS!B29)-SUPUESTOS!B35</f>
        <v>577</v>
      </c>
      <c r="E15" s="86" t="n">
        <f aca="false">(SUPUESTOS!B35/4+(SUPUESTOS!B28+SUPUESTOS!B29))/(1-SUPUESTOS!B25-SUPUESTOS!B26-SUPUESTOS!B27)</f>
        <v>220.394736842105</v>
      </c>
      <c r="G15" s="52" t="n">
        <f aca="false">E15*SUPUESTOS!$B$4</f>
        <v>330592.105263158</v>
      </c>
      <c r="I15" s="87" t="str">
        <f aca="false">IF(4*(SUPUESTOS!B23*(1-SUPUESTOS!B25-SUPUESTOS!B26-SUPUESTOS!B27)-SUPUESTOS!B28-SUPUESTOS!B29)-SUPUESTOS!B35&gt;=0,"✓ SÍ","✗ NO")</f>
        <v>✓ SÍ</v>
      </c>
    </row>
    <row r="16" customFormat="false" ht="18" hidden="false" customHeight="true" outlineLevel="0" collapsed="false">
      <c r="A16" s="40" t="s">
        <v>253</v>
      </c>
      <c r="C16" s="86" t="n">
        <f aca="false">5*(SUPUESTOS!B23*(1-SUPUESTOS!B25-SUPUESTOS!B26-SUPUESTOS!B27)-SUPUESTOS!B28-SUPUESTOS!B29)-SUPUESTOS!B35</f>
        <v>745</v>
      </c>
      <c r="E16" s="86" t="n">
        <f aca="false">(SUPUESTOS!B35/5+(SUPUESTOS!B28+SUPUESTOS!B29))/(1-SUPUESTOS!B25-SUPUESTOS!B26-SUPUESTOS!B27)</f>
        <v>207.894736842105</v>
      </c>
      <c r="G16" s="52" t="n">
        <f aca="false">E16*SUPUESTOS!$B$4</f>
        <v>311842.105263158</v>
      </c>
      <c r="I16" s="87" t="str">
        <f aca="false">IF(5*(SUPUESTOS!B23*(1-SUPUESTOS!B25-SUPUESTOS!B26-SUPUESTOS!B27)-SUPUESTOS!B28-SUPUESTOS!B29)-SUPUESTOS!B35&gt;=0,"✓ SÍ","✗ NO")</f>
        <v>✓ SÍ</v>
      </c>
    </row>
    <row r="17" customFormat="false" ht="18" hidden="false" customHeight="true" outlineLevel="0" collapsed="false">
      <c r="A17" s="40" t="s">
        <v>254</v>
      </c>
      <c r="C17" s="86" t="n">
        <f aca="false">6*(SUPUESTOS!B23*(1-SUPUESTOS!B25-SUPUESTOS!B26-SUPUESTOS!B27)-SUPUESTOS!B28-SUPUESTOS!B29)-SUPUESTOS!B35</f>
        <v>913</v>
      </c>
      <c r="E17" s="86" t="n">
        <f aca="false">(SUPUESTOS!B35/6+(SUPUESTOS!B28+SUPUESTOS!B29))/(1-SUPUESTOS!B25-SUPUESTOS!B26-SUPUESTOS!B27)</f>
        <v>199.561403508772</v>
      </c>
      <c r="G17" s="52" t="n">
        <f aca="false">E17*SUPUESTOS!$B$4</f>
        <v>299342.105263158</v>
      </c>
      <c r="I17" s="87" t="str">
        <f aca="false">IF(6*(SUPUESTOS!B23*(1-SUPUESTOS!B25-SUPUESTOS!B26-SUPUESTOS!B27)-SUPUESTOS!B28-SUPUESTOS!B29)-SUPUESTOS!B35&gt;=0,"✓ SÍ","✗ NO")</f>
        <v>✓ SÍ</v>
      </c>
    </row>
    <row r="18" customFormat="false" ht="18" hidden="false" customHeight="true" outlineLevel="0" collapsed="false">
      <c r="A18" s="40" t="s">
        <v>255</v>
      </c>
      <c r="C18" s="86" t="n">
        <f aca="false">7*(SUPUESTOS!B23*(1-SUPUESTOS!B25-SUPUESTOS!B26-SUPUESTOS!B27)-SUPUESTOS!B28-SUPUESTOS!B29)-SUPUESTOS!B35</f>
        <v>1081</v>
      </c>
      <c r="E18" s="86" t="n">
        <f aca="false">(SUPUESTOS!B35/7+(SUPUESTOS!B28+SUPUESTOS!B29))/(1-SUPUESTOS!B25-SUPUESTOS!B26-SUPUESTOS!B27)</f>
        <v>193.609022556391</v>
      </c>
      <c r="G18" s="52" t="n">
        <f aca="false">E18*SUPUESTOS!$B$4</f>
        <v>290413.533834587</v>
      </c>
      <c r="I18" s="87" t="str">
        <f aca="false">IF(7*(SUPUESTOS!B23*(1-SUPUESTOS!B25-SUPUESTOS!B26-SUPUESTOS!B27)-SUPUESTOS!B28-SUPUESTOS!B29)-SUPUESTOS!B35&gt;=0,"✓ SÍ","✗ NO")</f>
        <v>✓ SÍ</v>
      </c>
    </row>
    <row r="19" customFormat="false" ht="18" hidden="false" customHeight="true" outlineLevel="0" collapsed="false">
      <c r="A19" s="40" t="s">
        <v>256</v>
      </c>
      <c r="C19" s="86" t="n">
        <f aca="false">8*(SUPUESTOS!B23*(1-SUPUESTOS!B25-SUPUESTOS!B26-SUPUESTOS!B27)-SUPUESTOS!B28-SUPUESTOS!B29)-SUPUESTOS!B35</f>
        <v>1249</v>
      </c>
      <c r="E19" s="86" t="n">
        <f aca="false">(SUPUESTOS!B35/8+(SUPUESTOS!B28+SUPUESTOS!B29))/(1-SUPUESTOS!B25-SUPUESTOS!B26-SUPUESTOS!B27)</f>
        <v>189.144736842105</v>
      </c>
      <c r="G19" s="52" t="n">
        <f aca="false">E19*SUPUESTOS!$B$4</f>
        <v>283717.105263158</v>
      </c>
      <c r="I19" s="87" t="str">
        <f aca="false">IF(8*(SUPUESTOS!B23*(1-SUPUESTOS!B25-SUPUESTOS!B26-SUPUESTOS!B27)-SUPUESTOS!B28-SUPUESTOS!B29)-SUPUESTOS!B35&gt;=0,"✓ SÍ","✗ NO")</f>
        <v>✓ SÍ</v>
      </c>
    </row>
    <row r="20" customFormat="false" ht="15" hidden="false" customHeight="false" outlineLevel="0" collapsed="false"/>
    <row r="21" customFormat="false" ht="15" hidden="false" customHeight="true" outlineLevel="0" collapsed="false">
      <c r="A21" s="44" t="s">
        <v>257</v>
      </c>
      <c r="B21" s="44"/>
      <c r="C21" s="44"/>
      <c r="D21" s="44"/>
      <c r="E21" s="44"/>
      <c r="F21" s="44"/>
      <c r="G21" s="44"/>
      <c r="H21" s="44"/>
      <c r="I21" s="44"/>
    </row>
  </sheetData>
  <mergeCells count="4">
    <mergeCell ref="A1:I1"/>
    <mergeCell ref="A3:I3"/>
    <mergeCell ref="A10:I10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5" min="3" style="1" width="12"/>
    <col collapsed="false" customWidth="true" hidden="false" outlineLevel="0" max="6" min="6" style="1" width="38"/>
  </cols>
  <sheetData>
    <row r="1" customFormat="false" ht="25.5" hidden="false" customHeight="true" outlineLevel="0" collapsed="false">
      <c r="B1" s="10" t="s">
        <v>258</v>
      </c>
      <c r="C1" s="10"/>
      <c r="D1" s="10"/>
      <c r="E1" s="10"/>
      <c r="F1" s="10"/>
    </row>
    <row r="2" customFormat="false" ht="19.5" hidden="false" customHeight="true" outlineLevel="0" collapsed="false">
      <c r="B2" s="11" t="s">
        <v>259</v>
      </c>
      <c r="C2" s="11" t="s">
        <v>260</v>
      </c>
      <c r="D2" s="11" t="s">
        <v>261</v>
      </c>
      <c r="E2" s="11" t="s">
        <v>262</v>
      </c>
      <c r="F2" s="11" t="s">
        <v>263</v>
      </c>
    </row>
    <row r="3" customFormat="false" ht="19.5" hidden="false" customHeight="true" outlineLevel="0" collapsed="false">
      <c r="B3" s="7" t="s">
        <v>264</v>
      </c>
      <c r="C3" s="7"/>
      <c r="D3" s="7"/>
      <c r="E3" s="7"/>
      <c r="F3" s="7"/>
    </row>
    <row r="4" customFormat="false" ht="43.5" hidden="false" customHeight="true" outlineLevel="0" collapsed="false">
      <c r="B4" s="88" t="s">
        <v>265</v>
      </c>
      <c r="C4" s="42" t="s">
        <v>266</v>
      </c>
      <c r="D4" s="89" t="s">
        <v>267</v>
      </c>
      <c r="E4" s="42" t="s">
        <v>268</v>
      </c>
      <c r="F4" s="90" t="s">
        <v>269</v>
      </c>
    </row>
    <row r="5" customFormat="false" ht="43.5" hidden="false" customHeight="true" outlineLevel="0" collapsed="false">
      <c r="B5" s="88" t="s">
        <v>270</v>
      </c>
      <c r="C5" s="42" t="s">
        <v>271</v>
      </c>
      <c r="D5" s="89" t="s">
        <v>272</v>
      </c>
      <c r="E5" s="42" t="s">
        <v>273</v>
      </c>
      <c r="F5" s="90" t="s">
        <v>274</v>
      </c>
    </row>
    <row r="6" customFormat="false" ht="43.5" hidden="false" customHeight="true" outlineLevel="0" collapsed="false">
      <c r="B6" s="88" t="s">
        <v>275</v>
      </c>
      <c r="C6" s="42" t="s">
        <v>276</v>
      </c>
      <c r="D6" s="89" t="s">
        <v>272</v>
      </c>
      <c r="E6" s="42" t="s">
        <v>277</v>
      </c>
      <c r="F6" s="90" t="s">
        <v>278</v>
      </c>
    </row>
    <row r="7" customFormat="false" ht="43.5" hidden="false" customHeight="true" outlineLevel="0" collapsed="false">
      <c r="B7" s="88" t="s">
        <v>279</v>
      </c>
      <c r="C7" s="42" t="s">
        <v>280</v>
      </c>
      <c r="D7" s="42" t="s">
        <v>281</v>
      </c>
      <c r="E7" s="42" t="s">
        <v>282</v>
      </c>
      <c r="F7" s="90" t="s">
        <v>283</v>
      </c>
    </row>
    <row r="8" customFormat="false" ht="19.5" hidden="false" customHeight="true" outlineLevel="0" collapsed="false">
      <c r="B8" s="7" t="s">
        <v>284</v>
      </c>
      <c r="C8" s="7"/>
      <c r="D8" s="7"/>
      <c r="E8" s="7"/>
      <c r="F8" s="7"/>
    </row>
    <row r="9" customFormat="false" ht="43.5" hidden="false" customHeight="true" outlineLevel="0" collapsed="false">
      <c r="B9" s="88" t="s">
        <v>285</v>
      </c>
      <c r="C9" s="42" t="s">
        <v>286</v>
      </c>
      <c r="D9" s="42" t="s">
        <v>281</v>
      </c>
      <c r="E9" s="42" t="s">
        <v>287</v>
      </c>
      <c r="F9" s="90" t="s">
        <v>288</v>
      </c>
    </row>
    <row r="10" customFormat="false" ht="43.5" hidden="false" customHeight="true" outlineLevel="0" collapsed="false">
      <c r="B10" s="88" t="s">
        <v>289</v>
      </c>
      <c r="C10" s="42" t="s">
        <v>286</v>
      </c>
      <c r="D10" s="42" t="s">
        <v>281</v>
      </c>
      <c r="E10" s="42" t="s">
        <v>287</v>
      </c>
      <c r="F10" s="90" t="s">
        <v>290</v>
      </c>
    </row>
    <row r="11" customFormat="false" ht="43.5" hidden="false" customHeight="true" outlineLevel="0" collapsed="false">
      <c r="B11" s="88" t="s">
        <v>291</v>
      </c>
      <c r="C11" s="42" t="s">
        <v>292</v>
      </c>
      <c r="D11" s="42" t="s">
        <v>281</v>
      </c>
      <c r="E11" s="42" t="s">
        <v>293</v>
      </c>
      <c r="F11" s="90" t="s">
        <v>294</v>
      </c>
    </row>
    <row r="12" customFormat="false" ht="19.5" hidden="false" customHeight="true" outlineLevel="0" collapsed="false">
      <c r="B12" s="7" t="s">
        <v>295</v>
      </c>
      <c r="C12" s="7"/>
      <c r="D12" s="7"/>
      <c r="E12" s="7"/>
      <c r="F12" s="7"/>
    </row>
    <row r="13" customFormat="false" ht="43.5" hidden="false" customHeight="true" outlineLevel="0" collapsed="false">
      <c r="B13" s="88" t="s">
        <v>296</v>
      </c>
      <c r="C13" s="42" t="s">
        <v>297</v>
      </c>
      <c r="D13" s="42" t="s">
        <v>281</v>
      </c>
      <c r="E13" s="42" t="s">
        <v>298</v>
      </c>
      <c r="F13" s="90" t="s">
        <v>299</v>
      </c>
    </row>
    <row r="14" customFormat="false" ht="43.5" hidden="false" customHeight="true" outlineLevel="0" collapsed="false">
      <c r="B14" s="88" t="s">
        <v>300</v>
      </c>
      <c r="C14" s="42" t="s">
        <v>301</v>
      </c>
      <c r="D14" s="42" t="s">
        <v>281</v>
      </c>
      <c r="E14" s="42" t="s">
        <v>302</v>
      </c>
      <c r="F14" s="90" t="s">
        <v>303</v>
      </c>
    </row>
    <row r="15" customFormat="false" ht="19.5" hidden="false" customHeight="true" outlineLevel="0" collapsed="false">
      <c r="B15" s="7" t="s">
        <v>304</v>
      </c>
      <c r="C15" s="7"/>
      <c r="D15" s="7"/>
      <c r="E15" s="7"/>
      <c r="F15" s="7"/>
    </row>
    <row r="16" customFormat="false" ht="43.5" hidden="false" customHeight="true" outlineLevel="0" collapsed="false">
      <c r="B16" s="88" t="s">
        <v>305</v>
      </c>
      <c r="C16" s="42" t="s">
        <v>306</v>
      </c>
      <c r="D16" s="42" t="s">
        <v>281</v>
      </c>
      <c r="E16" s="42" t="s">
        <v>307</v>
      </c>
      <c r="F16" s="90" t="s">
        <v>308</v>
      </c>
    </row>
    <row r="17" customFormat="false" ht="43.5" hidden="false" customHeight="true" outlineLevel="0" collapsed="false">
      <c r="B17" s="88" t="s">
        <v>309</v>
      </c>
      <c r="C17" s="42" t="s">
        <v>310</v>
      </c>
      <c r="D17" s="89" t="s">
        <v>311</v>
      </c>
      <c r="E17" s="42" t="s">
        <v>312</v>
      </c>
      <c r="F17" s="90" t="s">
        <v>313</v>
      </c>
    </row>
    <row r="18" customFormat="false" ht="19.5" hidden="false" customHeight="true" outlineLevel="0" collapsed="false">
      <c r="B18" s="7" t="s">
        <v>314</v>
      </c>
      <c r="C18" s="7"/>
      <c r="D18" s="7"/>
      <c r="E18" s="7"/>
      <c r="F18" s="7"/>
    </row>
    <row r="19" customFormat="false" ht="43.5" hidden="false" customHeight="true" outlineLevel="0" collapsed="false">
      <c r="B19" s="88" t="s">
        <v>315</v>
      </c>
      <c r="C19" s="42" t="s">
        <v>316</v>
      </c>
      <c r="D19" s="42" t="s">
        <v>281</v>
      </c>
      <c r="E19" s="42" t="s">
        <v>317</v>
      </c>
      <c r="F19" s="90" t="s">
        <v>318</v>
      </c>
    </row>
    <row r="20" customFormat="false" ht="43.5" hidden="false" customHeight="true" outlineLevel="0" collapsed="false">
      <c r="B20" s="88" t="s">
        <v>319</v>
      </c>
      <c r="C20" s="42" t="s">
        <v>320</v>
      </c>
      <c r="D20" s="89" t="s">
        <v>321</v>
      </c>
      <c r="E20" s="42" t="s">
        <v>201</v>
      </c>
      <c r="F20" s="90" t="s">
        <v>322</v>
      </c>
    </row>
    <row r="21" customFormat="false" ht="43.5" hidden="false" customHeight="true" outlineLevel="0" collapsed="false">
      <c r="B21" s="88" t="s">
        <v>323</v>
      </c>
      <c r="C21" s="42" t="s">
        <v>324</v>
      </c>
      <c r="D21" s="89" t="s">
        <v>325</v>
      </c>
      <c r="E21" s="42" t="s">
        <v>326</v>
      </c>
      <c r="F21" s="90" t="s">
        <v>327</v>
      </c>
    </row>
    <row r="22" customFormat="false" ht="43.5" hidden="false" customHeight="true" outlineLevel="0" collapsed="false">
      <c r="B22" s="88" t="s">
        <v>328</v>
      </c>
      <c r="C22" s="42" t="s">
        <v>329</v>
      </c>
      <c r="D22" s="89" t="s">
        <v>330</v>
      </c>
      <c r="E22" s="42" t="s">
        <v>331</v>
      </c>
      <c r="F22" s="90" t="s">
        <v>332</v>
      </c>
    </row>
    <row r="23" customFormat="false" ht="43.5" hidden="false" customHeight="true" outlineLevel="0" collapsed="false">
      <c r="B23" s="88" t="s">
        <v>333</v>
      </c>
      <c r="C23" s="42" t="s">
        <v>334</v>
      </c>
      <c r="D23" s="89" t="s">
        <v>335</v>
      </c>
      <c r="E23" s="42" t="s">
        <v>273</v>
      </c>
      <c r="F23" s="90" t="s">
        <v>336</v>
      </c>
    </row>
    <row r="24" customFormat="false" ht="19.5" hidden="false" customHeight="true" outlineLevel="0" collapsed="false">
      <c r="B24" s="7" t="s">
        <v>337</v>
      </c>
      <c r="C24" s="7"/>
      <c r="D24" s="7"/>
      <c r="E24" s="7"/>
      <c r="F24" s="7"/>
    </row>
    <row r="25" customFormat="false" ht="43.5" hidden="false" customHeight="true" outlineLevel="0" collapsed="false">
      <c r="B25" s="88" t="s">
        <v>338</v>
      </c>
      <c r="C25" s="42" t="s">
        <v>339</v>
      </c>
      <c r="D25" s="89" t="s">
        <v>340</v>
      </c>
      <c r="E25" s="42" t="s">
        <v>341</v>
      </c>
      <c r="F25" s="90" t="s">
        <v>342</v>
      </c>
    </row>
    <row r="26" customFormat="false" ht="43.5" hidden="false" customHeight="true" outlineLevel="0" collapsed="false">
      <c r="B26" s="88" t="s">
        <v>343</v>
      </c>
      <c r="C26" s="42" t="s">
        <v>344</v>
      </c>
      <c r="D26" s="42" t="s">
        <v>281</v>
      </c>
      <c r="E26" s="42" t="s">
        <v>345</v>
      </c>
      <c r="F26" s="90" t="s">
        <v>346</v>
      </c>
    </row>
    <row r="27" customFormat="false" ht="43.5" hidden="false" customHeight="true" outlineLevel="0" collapsed="false">
      <c r="B27" s="88" t="s">
        <v>347</v>
      </c>
      <c r="C27" s="42" t="s">
        <v>348</v>
      </c>
      <c r="D27" s="42" t="s">
        <v>281</v>
      </c>
      <c r="E27" s="42" t="s">
        <v>345</v>
      </c>
      <c r="F27" s="90" t="s">
        <v>349</v>
      </c>
    </row>
    <row r="28" customFormat="false" ht="43.5" hidden="false" customHeight="true" outlineLevel="0" collapsed="false">
      <c r="B28" s="88" t="s">
        <v>350</v>
      </c>
      <c r="C28" s="42" t="s">
        <v>351</v>
      </c>
      <c r="D28" s="42" t="s">
        <v>281</v>
      </c>
      <c r="E28" s="42" t="s">
        <v>345</v>
      </c>
      <c r="F28" s="90" t="s">
        <v>352</v>
      </c>
    </row>
    <row r="29" customFormat="false" ht="19.5" hidden="false" customHeight="true" outlineLevel="0" collapsed="false">
      <c r="B29" s="7" t="s">
        <v>353</v>
      </c>
      <c r="C29" s="7"/>
      <c r="D29" s="7"/>
      <c r="E29" s="7"/>
      <c r="F29" s="7"/>
    </row>
    <row r="30" customFormat="false" ht="43.5" hidden="false" customHeight="true" outlineLevel="0" collapsed="false">
      <c r="B30" s="88" t="s">
        <v>354</v>
      </c>
      <c r="C30" s="42" t="s">
        <v>355</v>
      </c>
      <c r="D30" s="42" t="s">
        <v>281</v>
      </c>
      <c r="E30" s="42" t="s">
        <v>356</v>
      </c>
      <c r="F30" s="90" t="s">
        <v>357</v>
      </c>
    </row>
    <row r="31" customFormat="false" ht="43.5" hidden="false" customHeight="true" outlineLevel="0" collapsed="false">
      <c r="B31" s="88" t="s">
        <v>358</v>
      </c>
      <c r="C31" s="42" t="s">
        <v>359</v>
      </c>
      <c r="D31" s="42" t="s">
        <v>281</v>
      </c>
      <c r="E31" s="42" t="s">
        <v>360</v>
      </c>
      <c r="F31" s="90" t="s">
        <v>361</v>
      </c>
    </row>
  </sheetData>
  <mergeCells count="8">
    <mergeCell ref="B1:F1"/>
    <mergeCell ref="B3:F3"/>
    <mergeCell ref="B8:F8"/>
    <mergeCell ref="B12:F12"/>
    <mergeCell ref="B15:F15"/>
    <mergeCell ref="B18:F18"/>
    <mergeCell ref="B24:F24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2026-03-01T12:33:50Z</dcterms:created>
  <dc:creator>openpyxl</dc:creator>
  <dc:description/>
  <dc:language>en-US</dc:language>
  <cp:lastModifiedBy/>
  <dcterms:modified xsi:type="dcterms:W3CDTF">2026-03-01T12:39:05Z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